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xwechat_files\wxid_hj71dwd7dgzt22_da14\msg\file\2026-09\"/>
  <bookViews>
    <workbookView activeTab="0"/>
  </bookViews>
  <sheets>
    <sheet name="优化的数据记录表格" sheetId="1" r:id="rId4"/>
    <sheet name="半峰全宽法" sheetId="2" r:id="rId5"/>
  </sheets>
  <calcPr calcId="191029"/>
</workbook>
</file>

<file path=xl/comments1.xml><?xml version="1.0" encoding="utf-8"?>
<comments xmlns="http://schemas.openxmlformats.org/spreadsheetml/2006/main">
  <authors>
    <author>Leo.</author>
  </authors>
  <commentList>
    <comment ref="N4" authorId="0">
      <text>
        <r>
          <rPr>
            <rFont val="宋体"/>
            <charset val="134"/>
            <b val="1"/>
            <sz val="9"/>
          </rPr>
          <t>陈秉岩:</t>
        </r>
        <r>
          <rPr>
            <rFont val="宋体"/>
            <charset val="134"/>
            <sz val="9"/>
          </rPr>
          <t xml:space="preserve">
将选取的15个数据取平均值</t>
        </r>
      </text>
    </comment>
    <comment ref="M4" authorId="0">
      <text>
        <r>
          <rPr>
            <rFont val="宋体"/>
            <charset val="134"/>
            <b val="1"/>
            <sz val="9"/>
          </rPr>
          <t>陈秉岩:</t>
        </r>
        <r>
          <rPr>
            <rFont val="宋体"/>
            <charset val="134"/>
            <sz val="9"/>
          </rPr>
          <t xml:space="preserve">
选误差不超过10%的15个数据</t>
        </r>
      </text>
    </comment>
  </commentList>
</comments>
</file>

<file path=xl/sharedStrings.xml><?xml version="1.0" encoding="utf-8"?>
<sst xmlns="http://schemas.openxmlformats.org/spreadsheetml/2006/main" count="69" uniqueCount="69">
  <si>
    <t/>
  </si>
  <si>
    <t>测试时间</t>
  </si>
  <si>
    <t>空气源；流量计：**补充厂商和型号*</t>
  </si>
  <si>
    <t>放电系统</t>
  </si>
  <si>
    <t>调功频率</t>
  </si>
  <si>
    <t>占空比</t>
  </si>
  <si>
    <t>气体流量</t>
  </si>
  <si>
    <t>输入电压</t>
  </si>
  <si>
    <t>输入电流</t>
  </si>
  <si>
    <t>功率因素</t>
  </si>
  <si>
    <t>输入功率Pi(W)</t>
  </si>
  <si>
    <t>输入测量误差</t>
  </si>
  <si>
    <t>输入预估功率Pi(W)</t>
  </si>
  <si>
    <t>放电功率Pd(W)</t>
  </si>
  <si>
    <t>输出测量误差</t>
  </si>
  <si>
    <t>放电功率估计Pd(W)</t>
  </si>
  <si>
    <t>转换效率</t>
  </si>
  <si>
    <t>时分秒</t>
  </si>
  <si>
    <t>DT</t>
  </si>
  <si>
    <t>ST</t>
  </si>
  <si>
    <t>(L/min)</t>
  </si>
  <si>
    <t>随机电压(V)</t>
  </si>
  <si>
    <t>随机电流(A)</t>
  </si>
  <si>
    <t>随机PF(%)</t>
  </si>
  <si>
    <t>随机功率(W)</t>
  </si>
  <si>
    <t>平均值(W)</t>
  </si>
  <si>
    <t>误差(W)</t>
  </si>
  <si>
    <t>相对误差(W)</t>
  </si>
  <si>
    <t>选取Pi(W)</t>
  </si>
  <si>
    <t>预估Pi(W)</t>
  </si>
  <si>
    <t>(%)</t>
  </si>
  <si>
    <t>文件储存位置和名称</t>
  </si>
  <si>
    <t>无数据</t>
  </si>
  <si>
    <t>赵俊儒</t>
  </si>
  <si>
    <t>王赫</t>
  </si>
  <si>
    <t>彭弘毅</t>
  </si>
  <si>
    <t>丁小洹</t>
  </si>
  <si>
    <t>许涛</t>
  </si>
  <si>
    <t>韩怿</t>
  </si>
  <si>
    <t>赵俊儒9.20数据0000-0092</t>
  </si>
  <si>
    <t>王赫9.20数据0093-0200</t>
  </si>
  <si>
    <t>彭弘毅9.20数据0201-0293</t>
  </si>
  <si>
    <t>丁小洹9.20数据0294-0393</t>
  </si>
  <si>
    <t>许涛9.20数据0394-0484</t>
  </si>
  <si>
    <t>韩怿9.20数据0485-0513</t>
  </si>
  <si>
    <r>
      <rPr>
        <rFont val="微软雅黑"/>
        <charset val="134"/>
        <color theme="1"/>
        <sz val="11"/>
      </rPr>
      <t>实验日期：</t>
    </r>
  </si>
  <si>
    <r>
      <rPr>
        <rFont val="微软雅黑"/>
        <charset val="134"/>
        <color theme="1"/>
        <sz val="11"/>
      </rPr>
      <t>实验环境：</t>
    </r>
  </si>
  <si>
    <r>
      <rPr>
        <rFont val="宋体"/>
        <charset val="134"/>
        <color theme="1"/>
        <sz val="11"/>
      </rPr>
      <t>温度（℃）：</t>
    </r>
    <r>
      <rPr>
        <rFont val="Times New Roman"/>
        <charset val="134"/>
        <color theme="1"/>
        <sz val="11"/>
      </rPr>
      <t>29;</t>
    </r>
    <r>
      <rPr>
        <rFont val="宋体"/>
        <charset val="134"/>
        <color theme="1"/>
        <sz val="11"/>
      </rPr>
      <t>湿度（</t>
    </r>
    <r>
      <rPr>
        <rFont val="Times New Roman"/>
        <charset val="134"/>
        <color theme="1"/>
        <sz val="11"/>
      </rPr>
      <t>%RH</t>
    </r>
    <r>
      <rPr>
        <rFont val="宋体"/>
        <charset val="134"/>
        <color theme="1"/>
        <sz val="11"/>
      </rPr>
      <t>）：</t>
    </r>
    <r>
      <rPr>
        <rFont val="Times New Roman"/>
        <charset val="134"/>
        <color theme="1"/>
        <sz val="11"/>
      </rPr>
      <t>60</t>
    </r>
  </si>
  <si>
    <r>
      <rPr>
        <rFont val="宋体"/>
        <charset val="134"/>
        <color theme="1"/>
        <sz val="11"/>
      </rPr>
      <t>高压交流电源：</t>
    </r>
    <r>
      <rPr>
        <rFont val="Times New Roman"/>
        <charset val="134"/>
        <color theme="1"/>
        <sz val="11"/>
      </rPr>
      <t>****</t>
    </r>
    <r>
      <rPr>
        <rFont val="宋体"/>
        <charset val="134"/>
        <color theme="1"/>
        <sz val="11"/>
      </rPr>
      <t>补充厂商和型号</t>
    </r>
    <r>
      <rPr>
        <rFont val="Times New Roman"/>
        <charset val="134"/>
        <color theme="1"/>
        <sz val="11"/>
      </rPr>
      <t>******</t>
    </r>
  </si>
  <si>
    <r>
      <rPr>
        <rFont val="宋体"/>
        <charset val="134"/>
        <color theme="1"/>
        <sz val="11"/>
      </rPr>
      <t>电参数测试仪：</t>
    </r>
    <r>
      <rPr>
        <rFont val="Times New Roman"/>
        <charset val="134"/>
        <color theme="1"/>
        <sz val="11"/>
      </rPr>
      <t>*****</t>
    </r>
    <r>
      <rPr>
        <rFont val="宋体"/>
        <charset val="134"/>
        <color theme="1"/>
        <sz val="11"/>
      </rPr>
      <t>补充仪器厂商和型号</t>
    </r>
    <r>
      <rPr>
        <rFont val="Times New Roman"/>
        <charset val="134"/>
        <color theme="1"/>
        <sz val="11"/>
      </rPr>
      <t>*******</t>
    </r>
  </si>
  <si>
    <r>
      <rPr>
        <rFont val="宋体"/>
        <charset val="134"/>
        <color theme="1"/>
        <sz val="11"/>
      </rPr>
      <t>放电参数测试设备：数字存储示波器</t>
    </r>
    <r>
      <rPr>
        <rFont val="Times New Roman"/>
        <charset val="134"/>
        <color theme="1"/>
        <sz val="11"/>
      </rPr>
      <t>(Tektronix, MDO3054)</t>
    </r>
    <r>
      <rPr>
        <rFont val="宋体"/>
        <charset val="134"/>
        <color theme="1"/>
        <sz val="11"/>
      </rPr>
      <t>，选用通道及设置</t>
    </r>
    <r>
      <rPr>
        <rFont val="Times New Roman"/>
        <charset val="134"/>
        <color theme="1"/>
        <sz val="11"/>
      </rPr>
      <t>****</t>
    </r>
    <r>
      <rPr>
        <rFont val="宋体"/>
        <charset val="134"/>
        <color theme="1"/>
        <sz val="11"/>
      </rPr>
      <t>；高压电压探头</t>
    </r>
    <r>
      <rPr>
        <rFont val="Times New Roman"/>
        <charset val="134"/>
        <color theme="1"/>
        <sz val="11"/>
      </rPr>
      <t>(North Star, PVM-5)</t>
    </r>
    <r>
      <rPr>
        <rFont val="宋体"/>
        <charset val="134"/>
        <color theme="1"/>
        <sz val="11"/>
      </rPr>
      <t>，衰减倍率</t>
    </r>
    <r>
      <rPr>
        <rFont val="Times New Roman"/>
        <charset val="134"/>
        <color theme="1"/>
        <sz val="11"/>
      </rPr>
      <t>10000</t>
    </r>
    <r>
      <rPr>
        <rFont val="宋体"/>
        <charset val="134"/>
        <color theme="1"/>
        <sz val="11"/>
      </rPr>
      <t>；电流探头</t>
    </r>
    <r>
      <rPr>
        <rFont val="Times New Roman"/>
        <charset val="134"/>
        <color theme="1"/>
        <sz val="11"/>
      </rPr>
      <t>(Pearson, 6595)</t>
    </r>
    <r>
      <rPr>
        <rFont val="宋体"/>
        <charset val="134"/>
        <color theme="1"/>
        <sz val="11"/>
      </rPr>
      <t>，倍率</t>
    </r>
    <r>
      <rPr>
        <rFont val="Times New Roman"/>
        <charset val="134"/>
        <color theme="1"/>
        <sz val="11"/>
      </rPr>
      <t>0.5V/A</t>
    </r>
    <r>
      <rPr>
        <rFont val="宋体"/>
        <charset val="134"/>
        <color theme="1"/>
        <sz val="11"/>
      </rPr>
      <t>。</t>
    </r>
  </si>
  <si>
    <r>
      <rPr>
        <rFont val="宋体"/>
        <charset val="134"/>
        <color theme="1"/>
        <sz val="11"/>
      </rPr>
      <t>工作频率</t>
    </r>
    <r>
      <rPr>
        <rFont val="Times New Roman"/>
        <charset val="134"/>
        <color theme="1"/>
        <sz val="11"/>
      </rPr>
      <t>f0</t>
    </r>
  </si>
  <si>
    <r>
      <rPr>
        <rFont val="微软雅黑"/>
        <charset val="134"/>
        <color theme="1"/>
        <sz val="11"/>
      </rPr>
      <t>（</t>
    </r>
    <r>
      <rPr>
        <rFont val="Times New Roman"/>
        <charset val="134"/>
        <color theme="1"/>
        <sz val="11"/>
      </rPr>
      <t>kHz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</si>
  <si>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rgb="FF0000CC"/>
        <sz val="11"/>
      </rPr>
      <t>单次测量</t>
    </r>
    <r>
      <rPr>
        <rFont val="Times New Roman"/>
        <charset val="134"/>
        <color rgb="FF0000CC"/>
        <sz val="11"/>
      </rPr>
      <t>(W)</t>
    </r>
  </si>
  <si>
    <r>
      <rPr>
        <rFont val="微软雅黑"/>
        <charset val="134"/>
        <color rgb="FF0000CC"/>
        <sz val="11"/>
      </rPr>
      <t>选用</t>
    </r>
    <r>
      <rPr>
        <rFont val="Times New Roman"/>
        <charset val="134"/>
        <color rgb="FF0000CC"/>
        <sz val="11"/>
      </rPr>
      <t>5</t>
    </r>
    <r>
      <rPr>
        <rFont val="微软雅黑"/>
        <charset val="134"/>
        <color rgb="FF0000CC"/>
        <sz val="11"/>
      </rPr>
      <t>个功率</t>
    </r>
    <r>
      <rPr>
        <rFont val="Times New Roman"/>
        <charset val="134"/>
        <color rgb="FF0000CC"/>
        <sz val="11"/>
      </rPr>
      <t>(W)</t>
    </r>
  </si>
  <si>
    <r>
      <rPr>
        <rFont val="微软雅黑"/>
        <charset val="134"/>
        <color rgb="FF0000CC"/>
        <sz val="11"/>
      </rPr>
      <t>选用</t>
    </r>
    <r>
      <rPr>
        <rFont val="微软雅黑"/>
        <charset val="134"/>
        <color rgb="FF0000CC"/>
        <sz val="11"/>
      </rPr>
      <t>率</t>
    </r>
    <r>
      <rPr>
        <rFont val="Times New Roman"/>
        <charset val="134"/>
        <color rgb="FF0000CC"/>
        <sz val="11"/>
      </rPr>
      <t>(W)</t>
    </r>
  </si>
  <si>
    <r>
      <rPr>
        <rFont val="微软雅黑"/>
        <charset val="134"/>
        <color theme="1"/>
        <sz val="11"/>
      </rPr>
      <t>气体流速（</t>
    </r>
    <r>
      <rPr>
        <rFont val="Times New Roman"/>
        <charset val="134"/>
        <color theme="1"/>
        <sz val="11"/>
      </rPr>
      <t>L/min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</si>
  <si>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theme="1"/>
        <sz val="11"/>
      </rPr>
      <t>工作频率</t>
    </r>
    <r>
      <rPr>
        <rFont val="Times New Roman"/>
        <charset val="134"/>
        <i val="1"/>
        <color theme="1"/>
        <sz val="11"/>
      </rPr>
      <t>f</t>
    </r>
    <r>
      <rPr>
        <rFont val="Times New Roman"/>
        <charset val="134"/>
        <color theme="1"/>
        <sz val="11"/>
      </rPr>
      <t>0</t>
    </r>
    <r>
      <rPr>
        <rFont val="微软雅黑"/>
        <charset val="134"/>
        <color theme="1"/>
        <sz val="11"/>
      </rPr>
      <t>（</t>
    </r>
    <r>
      <rPr>
        <rFont val="Times New Roman"/>
        <charset val="134"/>
        <color theme="1"/>
        <sz val="11"/>
      </rPr>
      <t>kHz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</si>
  <si>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theme="1"/>
        <sz val="11"/>
      </rPr>
      <t>第一个功率峰</t>
    </r>
    <r>
      <rPr>
        <rFont val="Times New Roman"/>
        <charset val="134"/>
        <color theme="1"/>
        <sz val="11"/>
      </rPr>
      <t>P1</t>
    </r>
    <r>
      <rPr>
        <rFont val="微软雅黑"/>
        <charset val="134"/>
        <color theme="1"/>
        <sz val="11"/>
      </rPr>
      <t>（</t>
    </r>
    <r>
      <rPr>
        <rFont val="Times New Roman"/>
        <charset val="134"/>
        <color theme="1"/>
        <sz val="11"/>
      </rPr>
      <t>kW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</si>
  <si>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theme="1"/>
        <sz val="11"/>
      </rPr>
      <t>起始时间</t>
    </r>
    <r>
      <rPr>
        <rFont val="Times New Roman"/>
        <charset val="134"/>
        <color theme="1"/>
        <sz val="11"/>
      </rPr>
      <t>t1(us)</t>
    </r>
  </si>
  <si>
    <r>
      <rPr>
        <rFont val="微软雅黑"/>
        <charset val="134"/>
        <color theme="1"/>
        <sz val="11"/>
      </rPr>
      <t>结束时间</t>
    </r>
    <r>
      <rPr>
        <rFont val="Times New Roman"/>
        <charset val="134"/>
        <color theme="1"/>
        <sz val="11"/>
      </rPr>
      <t>t2(us)</t>
    </r>
  </si>
  <si>
    <r>
      <rPr>
        <rFont val="微软雅黑"/>
        <charset val="134"/>
        <color theme="1"/>
        <sz val="11"/>
      </rPr>
      <t>第一个功率峰对应时间</t>
    </r>
    <r>
      <rPr>
        <rFont val="Times New Roman"/>
        <charset val="134"/>
        <color theme="1"/>
        <sz val="11"/>
      </rPr>
      <t>T1(us)</t>
    </r>
  </si>
  <si>
    <r>
      <rPr>
        <rFont val="微软雅黑"/>
        <charset val="134"/>
        <color theme="1"/>
        <sz val="11"/>
      </rPr>
      <t>第二个功率峰</t>
    </r>
    <r>
      <rPr>
        <rFont val="Times New Roman"/>
        <charset val="134"/>
        <color theme="1"/>
        <sz val="11"/>
      </rPr>
      <t>P2</t>
    </r>
    <r>
      <rPr>
        <rFont val="微软雅黑"/>
        <charset val="134"/>
        <color theme="1"/>
        <sz val="11"/>
      </rPr>
      <t>（</t>
    </r>
    <r>
      <rPr>
        <rFont val="Times New Roman"/>
        <charset val="134"/>
        <color theme="1"/>
        <sz val="11"/>
      </rPr>
      <t>kW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</si>
  <si>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theme="1"/>
        <sz val="11"/>
      </rPr>
      <t>起始时间</t>
    </r>
    <r>
      <rPr>
        <rFont val="Times New Roman"/>
        <charset val="134"/>
        <color theme="1"/>
        <sz val="11"/>
      </rPr>
      <t>t3(us)</t>
    </r>
  </si>
  <si>
    <r>
      <rPr>
        <rFont val="微软雅黑"/>
        <charset val="134"/>
        <color theme="1"/>
        <sz val="11"/>
      </rPr>
      <t>结束时间</t>
    </r>
    <r>
      <rPr>
        <rFont val="Times New Roman"/>
        <charset val="134"/>
        <color theme="1"/>
        <sz val="11"/>
      </rPr>
      <t>t4(us)</t>
    </r>
  </si>
  <si>
    <r>
      <rPr>
        <rFont val="微软雅黑"/>
        <charset val="134"/>
        <color theme="1"/>
        <sz val="11"/>
      </rPr>
      <t>第二个功率峰对应时间</t>
    </r>
    <r>
      <rPr>
        <rFont val="Times New Roman"/>
        <charset val="134"/>
        <color theme="1"/>
        <sz val="11"/>
      </rPr>
      <t>T1(us)</t>
    </r>
  </si>
  <si>
    <r>
      <rPr>
        <rFont val="微软雅黑"/>
        <charset val="134"/>
        <color theme="1"/>
        <sz val="11"/>
      </rPr>
      <t>能量（</t>
    </r>
    <r>
      <rPr>
        <rFont val="Times New Roman"/>
        <charset val="134"/>
        <color theme="1"/>
        <sz val="11"/>
      </rPr>
      <t>mJ</t>
    </r>
    <r>
      <rPr>
        <rFont val="微软雅黑"/>
        <charset val="134"/>
        <color theme="1"/>
        <sz val="11"/>
      </rPr>
      <t>）</t>
    </r>
  </si>
  <si>
    <r>
      <rPr>
        <rFont val="微软雅黑"/>
        <charset val="134"/>
        <color theme="1"/>
        <sz val="11"/>
      </rPr>
      <t>平均放电功率</t>
    </r>
    <r>
      <rPr>
        <rFont val="Times New Roman"/>
        <charset val="134"/>
        <color theme="1"/>
        <sz val="11"/>
      </rPr>
      <t>P2</t>
    </r>
    <r>
      <rPr>
        <rFont val="微软雅黑"/>
        <charset val="134"/>
        <color theme="1"/>
        <sz val="11"/>
      </rPr>
      <t>（</t>
    </r>
    <r>
      <rPr>
        <rFont val="Times New Roman"/>
        <charset val="134"/>
        <color theme="1"/>
        <sz val="11"/>
      </rPr>
      <t>W</t>
    </r>
    <r>
      <rPr>
        <rFont val="微软雅黑"/>
        <charset val="134"/>
        <color theme="1"/>
        <sz val="11"/>
      </rPr>
      <t>）</t>
    </r>
  </si>
  <si>
    <r>
      <rPr>
        <rFont val="宋体"/>
        <b val="0"/>
        <i val="0"/>
        <strike val="0"/>
        <color rgb="FF000000"/>
        <sz val="11"/>
        <u val="none"/>
      </rPr>
      <t>温度（℃）：</t>
    </r>
    <r>
      <rPr>
        <rFont val="Times New Roman"/>
        <b val="0"/>
        <i val="0"/>
        <strike val="0"/>
        <color rgb="FF000000"/>
        <sz val="11"/>
        <u val="none"/>
      </rPr>
      <t>27;</t>
    </r>
    <r>
      <rPr>
        <rFont val="宋体"/>
        <b val="0"/>
        <i val="0"/>
        <strike val="0"/>
        <color rgb="FF000000"/>
        <sz val="11"/>
        <u val="none"/>
      </rPr>
      <t>湿度（</t>
    </r>
    <r>
      <rPr>
        <rFont val="Times New Roman"/>
        <b val="0"/>
        <i val="0"/>
        <strike val="0"/>
        <color rgb="FF000000"/>
        <sz val="11"/>
        <u val="none"/>
      </rPr>
      <t>%RH</t>
    </r>
    <r>
      <rPr>
        <rFont val="宋体"/>
        <b val="0"/>
        <i val="0"/>
        <strike val="0"/>
        <color rgb="FF000000"/>
        <sz val="11"/>
        <u val="none"/>
      </rPr>
      <t>）：</t>
    </r>
    <r>
      <rPr>
        <rFont val="Times New Roman"/>
        <b val="0"/>
        <i val="0"/>
        <strike val="0"/>
        <color rgb="FF000000"/>
        <sz val="11"/>
        <u val="none"/>
      </rPr>
      <t>62</t>
    </r>
  </si>
</sst>
</file>

<file path=xl/styles.xml><?xml version="1.0" encoding="utf-8"?>
<styleSheet xmlns="http://schemas.openxmlformats.org/spreadsheetml/2006/main">
  <numFmts count="12">
    <numFmt numFmtId="300" formatCode="yyyy/m/d;@"/>
    <numFmt numFmtId="301" formatCode="[$-F400]h:mm:ss\ AM/PM"/>
    <numFmt numFmtId="302" formatCode="0.0"/>
    <numFmt numFmtId="303" formatCode="0.00_ "/>
    <numFmt numFmtId="304" formatCode="0.0%"/>
    <numFmt numFmtId="305" formatCode="0.0_ "/>
    <numFmt numFmtId="306" formatCode="General"/>
    <numFmt numFmtId="307" formatCode="_ * #,##0_ ;_ * \-#,##0_ ;_ * &quot;-&quot;_ ;_ @_ "/>
    <numFmt numFmtId="308" formatCode="0%"/>
    <numFmt numFmtId="309" formatCode="_ &quot;￥&quot;* #,##0.00_ ;_ &quot;￥&quot;* \-#,##0.00_ ;_ &quot;￥&quot;* &quot;-&quot;??_ ;_ @_ "/>
    <numFmt numFmtId="310" formatCode="_ &quot;￥&quot;* #,##0_ ;_ &quot;￥&quot;* \-#,##0_ ;_ &quot;￥&quot;* &quot;-&quot;_ ;_ @_ "/>
    <numFmt numFmtId="311" formatCode="_ * #,##0.00_ ;_ * \-#,##0.00_ ;_ * &quot;-&quot;??_ ;_ @_ "/>
  </numFmts>
  <fonts count="3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charset val="134"/>
      <color theme="1"/>
      <sz val="11"/>
    </font>
    <font>
      <name val="微软雅黑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color rgb="FF0000CC"/>
      <sz val="11"/>
    </font>
    <font>
      <name val="Times New Roman"/>
      <charset val="134"/>
      <color rgb="FF0000CC"/>
      <sz val="11"/>
    </font>
    <font>
      <name val="Times New Roman"/>
      <charset val="134"/>
      <color rgb="FFFF0000"/>
      <sz val="11"/>
    </font>
    <font>
      <name val="Times New Roman"/>
      <color rgb="FFFF0000"/>
      <sz val="11"/>
    </font>
    <font>
      <name val="宋体"/>
      <charset val="134"/>
      <color rgb="FF000000"/>
      <sz val="11"/>
    </font>
    <font>
      <name val="Times New Roman"/>
      <color theme="1"/>
      <sz val="11"/>
    </font>
    <font>
      <name val="Times New Roman"/>
      <charset val="134"/>
      <color rgb="FF000000"/>
      <sz val="11"/>
    </font>
    <font>
      <name val="Times New Roman"/>
      <color rgb="FF0000CC"/>
      <sz val="11"/>
    </font>
    <font>
      <name val="Times New Roman"/>
      <charset val="134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/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/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/>
    <border/>
    <border/>
    <border/>
    <border/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6" fontId="16" fillId="0" borderId="18" xfId="0">
      <alignment vertical="center"/>
    </xf>
    <xf numFmtId="307" fontId="16" fillId="14" borderId="18" xfId="0" applyFont="0" applyFill="0" applyBorder="0" applyAlignment="0" applyProtection="0">
      <alignment vertical="center"/>
    </xf>
    <xf numFmtId="306" fontId="17" fillId="16" borderId="18" xfId="0" applyNumberFormat="0" applyBorder="0" applyAlignment="0" applyProtection="0">
      <alignment vertical="center"/>
    </xf>
    <xf numFmtId="308" fontId="16" fillId="14" borderId="18" xfId="0" applyFont="0" applyFill="0" applyBorder="0" applyAlignment="0" applyProtection="0">
      <alignment vertical="center"/>
    </xf>
    <xf numFmtId="306" fontId="17" fillId="3" borderId="18" xfId="0" applyNumberFormat="0" applyBorder="0" applyAlignment="0" applyProtection="0">
      <alignment vertical="center"/>
    </xf>
    <xf numFmtId="309" fontId="16" fillId="14" borderId="18" xfId="0" applyFont="0" applyFill="0" applyBorder="0" applyAlignment="0" applyProtection="0">
      <alignment vertical="center"/>
    </xf>
    <xf numFmtId="306" fontId="18" fillId="17" borderId="18" xfId="0" applyNumberFormat="0" applyBorder="0" applyAlignment="0" applyProtection="0">
      <alignment vertical="center"/>
    </xf>
    <xf numFmtId="306" fontId="18" fillId="18" borderId="18" xfId="0" applyNumberFormat="0" applyBorder="0" applyAlignment="0" applyProtection="0">
      <alignment vertical="center"/>
    </xf>
    <xf numFmtId="306" fontId="17" fillId="19" borderId="18" xfId="0" applyNumberFormat="0" applyBorder="0" applyAlignment="0" applyProtection="0">
      <alignment vertical="center"/>
    </xf>
    <xf numFmtId="306" fontId="17" fillId="20" borderId="18" xfId="0" applyNumberFormat="0" applyBorder="0" applyAlignment="0" applyProtection="0">
      <alignment vertical="center"/>
    </xf>
    <xf numFmtId="306" fontId="18" fillId="21" borderId="18" xfId="0" applyNumberFormat="0" applyBorder="0" applyAlignment="0" applyProtection="0">
      <alignment vertical="center"/>
    </xf>
    <xf numFmtId="306" fontId="19" fillId="14" borderId="19" xfId="0" applyNumberFormat="0" applyFill="0" applyAlignment="0" applyProtection="0">
      <alignment vertical="center"/>
    </xf>
    <xf numFmtId="306" fontId="20" fillId="14" borderId="18" xfId="0" applyNumberFormat="0" applyFill="0" applyBorder="0" applyAlignment="0" applyProtection="0">
      <alignment vertical="center"/>
    </xf>
    <xf numFmtId="306" fontId="17" fillId="22" borderId="18" xfId="0" applyNumberFormat="0" applyBorder="0" applyAlignment="0" applyProtection="0">
      <alignment vertical="center"/>
    </xf>
    <xf numFmtId="306" fontId="17" fillId="5" borderId="18" xfId="0" applyNumberFormat="0" applyBorder="0" applyAlignment="0" applyProtection="0">
      <alignment vertical="center"/>
    </xf>
    <xf numFmtId="306" fontId="16" fillId="23" borderId="20" xfId="0" applyNumberFormat="0" applyFont="0" applyAlignment="0" applyProtection="0">
      <alignment vertical="center"/>
    </xf>
    <xf numFmtId="306" fontId="18" fillId="24" borderId="18" xfId="0" applyNumberFormat="0" applyBorder="0" applyAlignment="0" applyProtection="0">
      <alignment vertical="center"/>
    </xf>
    <xf numFmtId="310" fontId="16" fillId="14" borderId="18" xfId="0" applyFont="0" applyFill="0" applyBorder="0" applyAlignment="0" applyProtection="0">
      <alignment vertical="center"/>
    </xf>
    <xf numFmtId="306" fontId="21" fillId="14" borderId="18" xfId="0" applyNumberFormat="0" applyFill="0" applyBorder="0" applyAlignment="0" applyProtection="0">
      <alignment vertical="center"/>
    </xf>
    <xf numFmtId="306" fontId="18" fillId="7" borderId="18" xfId="0" applyNumberFormat="0" applyBorder="0" applyAlignment="0" applyProtection="0">
      <alignment vertical="center"/>
    </xf>
    <xf numFmtId="306" fontId="18" fillId="25" borderId="18" xfId="0" applyNumberFormat="0" applyBorder="0" applyAlignment="0" applyProtection="0">
      <alignment vertical="center"/>
    </xf>
    <xf numFmtId="306" fontId="22" fillId="14" borderId="18" xfId="0" applyNumberFormat="0" applyFill="0" applyBorder="0" applyAlignment="0" applyProtection="0">
      <alignment vertical="center"/>
    </xf>
    <xf numFmtId="306" fontId="17" fillId="4" borderId="18" xfId="0" applyNumberFormat="0" applyBorder="0" applyAlignment="0" applyProtection="0">
      <alignment vertical="center"/>
    </xf>
    <xf numFmtId="306" fontId="23" fillId="14" borderId="18" xfId="0" applyNumberFormat="0" applyFill="0" applyBorder="0" applyAlignment="0" applyProtection="0">
      <alignment vertical="center"/>
    </xf>
    <xf numFmtId="306" fontId="24" fillId="26" borderId="18" xfId="0" applyNumberFormat="0" applyBorder="0" applyAlignment="0" applyProtection="0">
      <alignment vertical="center"/>
    </xf>
    <xf numFmtId="306" fontId="17" fillId="27" borderId="18" xfId="0" applyNumberFormat="0" applyBorder="0" applyAlignment="0" applyProtection="0">
      <alignment vertical="center"/>
    </xf>
    <xf numFmtId="306" fontId="17" fillId="8" borderId="18" xfId="0" applyNumberFormat="0" applyBorder="0" applyAlignment="0" applyProtection="0">
      <alignment vertical="center"/>
    </xf>
    <xf numFmtId="306" fontId="18" fillId="28" borderId="18" xfId="0" applyNumberFormat="0" applyBorder="0" applyAlignment="0" applyProtection="0">
      <alignment vertical="center"/>
    </xf>
    <xf numFmtId="306" fontId="25" fillId="14" borderId="18" xfId="0" applyNumberFormat="0" applyFill="0" applyBorder="0" applyAlignment="0" applyProtection="0">
      <alignment vertical="center"/>
    </xf>
    <xf numFmtId="306" fontId="18" fillId="29" borderId="18" xfId="0" applyNumberFormat="0" applyBorder="0" applyAlignment="0" applyProtection="0">
      <alignment vertical="center"/>
    </xf>
    <xf numFmtId="306" fontId="26" fillId="14" borderId="21" xfId="0" applyNumberFormat="0" applyFill="0" applyAlignment="0" applyProtection="0">
      <alignment vertical="center"/>
    </xf>
    <xf numFmtId="306" fontId="26" fillId="14" borderId="18" xfId="0" applyNumberFormat="0" applyFill="0" applyBorder="0" applyAlignment="0" applyProtection="0">
      <alignment vertical="center"/>
    </xf>
    <xf numFmtId="306" fontId="27" fillId="14" borderId="19" xfId="0" applyNumberFormat="0" applyFill="0" applyAlignment="0" applyProtection="0">
      <alignment vertical="center"/>
    </xf>
    <xf numFmtId="306" fontId="18" fillId="30" borderId="18" xfId="0" applyNumberFormat="0" applyBorder="0" applyAlignment="0" applyProtection="0">
      <alignment vertical="center"/>
    </xf>
    <xf numFmtId="306" fontId="28" fillId="14" borderId="22" xfId="0" applyNumberFormat="0" applyFill="0" applyAlignment="0" applyProtection="0">
      <alignment vertical="center"/>
    </xf>
    <xf numFmtId="306" fontId="29" fillId="14" borderId="23" xfId="0" applyNumberFormat="0" applyFill="0" applyAlignment="0" applyProtection="0">
      <alignment vertical="center"/>
    </xf>
    <xf numFmtId="306" fontId="18" fillId="31" borderId="18" xfId="0" applyNumberFormat="0" applyBorder="0" applyAlignment="0" applyProtection="0">
      <alignment vertical="center"/>
    </xf>
    <xf numFmtId="311" fontId="16" fillId="14" borderId="18" xfId="0" applyFont="0" applyFill="0" applyBorder="0" applyAlignment="0" applyProtection="0">
      <alignment vertical="center"/>
    </xf>
    <xf numFmtId="306" fontId="30" fillId="32" borderId="24" xfId="0" applyNumberFormat="0" applyAlignment="0" applyProtection="0">
      <alignment vertical="center"/>
    </xf>
    <xf numFmtId="306" fontId="31" fillId="33" borderId="25" xfId="0" applyNumberFormat="0" applyAlignment="0" applyProtection="0">
      <alignment vertical="center"/>
    </xf>
    <xf numFmtId="306" fontId="32" fillId="33" borderId="26" xfId="0" applyNumberFormat="0" applyAlignment="0" applyProtection="0">
      <alignment vertical="center"/>
    </xf>
    <xf numFmtId="306" fontId="33" fillId="34" borderId="25" xfId="0" applyNumberFormat="0" applyAlignment="0" applyProtection="0">
      <alignment vertical="center"/>
    </xf>
    <xf numFmtId="306" fontId="34" fillId="35" borderId="18" xfId="0" applyNumberFormat="0" applyBorder="0" applyAlignment="0" applyProtection="0">
      <alignment vertical="center"/>
    </xf>
    <xf numFmtId="306" fontId="35" fillId="36" borderId="18" xfId="0" applyNumberFormat="0" applyBorder="0" applyAlignment="0" applyProtection="0">
      <alignment vertical="center"/>
    </xf>
    <xf numFmtId="306" fontId="18" fillId="37" borderId="18" xfId="0" applyNumberFormat="0" applyBorder="0" applyAlignment="0" applyProtection="0">
      <alignment vertical="center"/>
    </xf>
    <xf numFmtId="306" fontId="17" fillId="38" borderId="18" xfId="0" applyNumberFormat="0" applyBorder="0" applyAlignment="0" applyProtection="0">
      <alignment vertical="center"/>
    </xf>
    <xf numFmtId="306" fontId="17" fillId="39" borderId="18" xfId="0" applyNumberFormat="0" applyBorder="0" applyAlignment="0" applyProtection="0">
      <alignment vertical="center"/>
    </xf>
    <xf numFmtId="306" fontId="18" fillId="40" borderId="18" xfId="0" applyNumberFormat="0" applyBorder="0" applyAlignment="0" applyProtection="0">
      <alignment vertical="center"/>
    </xf>
    <xf numFmtId="306" fontId="17" fillId="41" borderId="18" xf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6" fontId="3" fillId="0" borderId="1" xfId="0" applyFont="1" applyBorder="1" applyAlignment="1">
      <alignment horizontal="center" vertical="center"/>
    </xf>
    <xf numFmtId="300" fontId="3" fillId="0" borderId="1" xfId="0" applyNumberFormat="1" applyFont="1" applyBorder="1" applyAlignment="1">
      <alignment horizontal="center" vertical="center"/>
    </xf>
    <xf numFmtId="306" fontId="3" fillId="0" borderId="18" xfId="0" applyFont="1" applyAlignment="1">
      <alignment horizontal="left" vertical="center"/>
    </xf>
    <xf numFmtId="306" fontId="4" fillId="0" borderId="2" xfId="0" applyFont="1" applyBorder="1" applyAlignment="1">
      <alignment horizontal="center" vertical="center"/>
    </xf>
    <xf numFmtId="306" fontId="3" fillId="2" borderId="3" xfId="0" applyFont="1" applyFill="1" applyBorder="1" applyAlignment="1">
      <alignment horizontal="center" vertical="center" wrapText="1"/>
    </xf>
    <xf numFmtId="306" fontId="16" fillId="2" borderId="4" xfId="0" applyFill="1" applyBorder="1" applyAlignment="1">
      <alignment horizontal="center" vertical="center"/>
    </xf>
    <xf numFmtId="306" fontId="16" fillId="2" borderId="5" xfId="0" applyFill="1" applyBorder="1" applyAlignment="1">
      <alignment horizontal="center" vertical="center"/>
    </xf>
    <xf numFmtId="306" fontId="5" fillId="2" borderId="1" xfId="0" applyFont="1" applyFill="1" applyBorder="1" applyAlignment="1">
      <alignment horizontal="center" vertical="center" wrapText="1"/>
    </xf>
    <xf numFmtId="306" fontId="3" fillId="2" borderId="3" xfId="0" applyFont="1" applyFill="1" applyBorder="1" applyAlignment="1">
      <alignment horizontal="center" vertical="center"/>
    </xf>
    <xf numFmtId="306" fontId="16" fillId="0" borderId="4" xfId="0" applyBorder="1" applyAlignment="1">
      <alignment horizontal="center" vertical="center"/>
    </xf>
    <xf numFmtId="306" fontId="16" fillId="0" borderId="5" xfId="0" applyBorder="1" applyAlignment="1">
      <alignment horizontal="center" vertical="center"/>
    </xf>
    <xf numFmtId="306" fontId="3" fillId="0" borderId="3" xfId="0" applyFont="1" applyBorder="1" applyAlignment="1">
      <alignment horizontal="center" vertical="center" wrapText="1"/>
    </xf>
    <xf numFmtId="306" fontId="16" fillId="0" borderId="4" xfId="0" applyBorder="1" applyAlignment="1">
      <alignment horizontal="center" vertical="center" wrapText="1"/>
    </xf>
    <xf numFmtId="306" fontId="16" fillId="0" borderId="5" xfId="0" applyBorder="1" applyAlignment="1">
      <alignment horizontal="center" vertical="center" wrapText="1"/>
    </xf>
    <xf numFmtId="306" fontId="5" fillId="0" borderId="1" xfId="0" applyFont="1" applyBorder="1" applyAlignment="1">
      <alignment horizontal="center" vertical="center"/>
    </xf>
    <xf numFmtId="306" fontId="16" fillId="0" borderId="6" xfId="0" applyBorder="1" applyAlignment="1">
      <alignment horizontal="center" vertical="center"/>
    </xf>
    <xf numFmtId="306" fontId="3" fillId="2" borderId="1" xfId="0" applyFont="1" applyFill="1" applyBorder="1" applyAlignment="1">
      <alignment horizontal="center" vertical="center"/>
    </xf>
    <xf numFmtId="306" fontId="6" fillId="0" borderId="3" xfId="0" applyFont="1" applyBorder="1" applyAlignment="1">
      <alignment horizontal="center" vertical="center"/>
    </xf>
    <xf numFmtId="306" fontId="6" fillId="0" borderId="5" xfId="0" applyFont="1" applyBorder="1" applyAlignment="1">
      <alignment horizontal="center" vertical="center"/>
    </xf>
    <xf numFmtId="306" fontId="4" fillId="0" borderId="5" xfId="0" applyFont="1" applyBorder="1" applyAlignment="1">
      <alignment horizontal="center" vertical="center"/>
    </xf>
    <xf numFmtId="306" fontId="6" fillId="0" borderId="1" xfId="0" applyFont="1" applyBorder="1" applyAlignment="1">
      <alignment horizontal="center" vertical="center"/>
    </xf>
    <xf numFmtId="306" fontId="7" fillId="0" borderId="1" xfId="0" applyFont="1" applyBorder="1" applyAlignment="1">
      <alignment horizontal="center" vertical="center"/>
    </xf>
    <xf numFmtId="306" fontId="4" fillId="0" borderId="1" xfId="0" applyFont="1" applyBorder="1" applyAlignment="1">
      <alignment horizontal="center" vertical="center"/>
    </xf>
    <xf numFmtId="301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302" fontId="8" fillId="0" borderId="1" xfId="0" applyNumberFormat="1" applyFont="1" applyBorder="1" applyAlignment="1">
      <alignment horizontal="center" vertical="center"/>
    </xf>
    <xf numFmtId="302" fontId="8" fillId="3" borderId="1" xfId="0" applyNumberFormat="1" applyFont="1" applyFill="1" applyBorder="1" applyAlignment="1">
      <alignment horizontal="center" vertical="center"/>
    </xf>
    <xf numFmtId="302" fontId="9" fillId="3" borderId="7" xfId="0" applyNumberFormat="1" applyFont="1" applyFill="1" applyBorder="1" applyAlignment="1">
      <alignment horizontal="center" vertical="center"/>
    </xf>
    <xf numFmtId="60" fontId="3" fillId="3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303" fontId="3" fillId="4" borderId="1" xfId="0" applyNumberFormat="1" applyFont="1" applyFill="1" applyBorder="1" applyAlignment="1">
      <alignment horizontal="center" vertical="center"/>
    </xf>
    <xf numFmtId="304" fontId="3" fillId="4" borderId="1" xfId="3" applyNumberFormat="1" applyFont="1" applyFill="1" applyBorder="1" applyAlignment="1">
      <alignment horizontal="center" vertical="center"/>
    </xf>
    <xf numFmtId="60" fontId="3" fillId="5" borderId="1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302" fontId="7" fillId="4" borderId="2" xfId="0" applyNumberFormat="1" applyFont="1" applyFill="1" applyBorder="1" applyAlignment="1">
      <alignment horizontal="center" vertical="center"/>
    </xf>
    <xf numFmtId="305" fontId="3" fillId="0" borderId="1" xfId="0" applyNumberFormat="1" applyFont="1" applyBorder="1" applyAlignment="1">
      <alignment horizontal="center" vertical="center"/>
    </xf>
    <xf numFmtId="304" fontId="3" fillId="14" borderId="1" xfId="3" applyNumberFormat="1" applyFont="1" applyBorder="1" applyAlignment="1">
      <alignment horizontal="center" vertical="center"/>
    </xf>
    <xf numFmtId="60" fontId="3" fillId="7" borderId="1" xfId="0" applyNumberFormat="1" applyFont="1" applyFill="1" applyBorder="1" applyAlignment="1">
      <alignment horizontal="center" vertical="center"/>
    </xf>
    <xf numFmtId="305" fontId="3" fillId="7" borderId="2" xfId="3" applyNumberFormat="1" applyFont="1" applyFill="1" applyBorder="1" applyAlignment="1">
      <alignment horizontal="center" vertical="center"/>
    </xf>
    <xf numFmtId="304" fontId="3" fillId="14" borderId="2" xfId="3" applyNumberFormat="1" applyFont="1" applyBorder="1" applyAlignment="1">
      <alignment horizontal="center" vertical="center"/>
    </xf>
    <xf numFmtId="306" fontId="8" fillId="0" borderId="1" xfId="0" applyFont="1" applyBorder="1" applyAlignment="1">
      <alignment horizontal="center" vertical="center"/>
    </xf>
    <xf numFmtId="302" fontId="8" fillId="3" borderId="1" xfId="0">
      <alignment horizontal="center" vertical="center"/>
    </xf>
    <xf numFmtId="2" fontId="16" fillId="5" borderId="8" xfId="0" applyNumberFormat="1" applyFill="1" applyBorder="1" applyAlignment="1">
      <alignment horizontal="center" vertical="center"/>
    </xf>
    <xf numFmtId="306" fontId="16" fillId="0" borderId="8" xfId="0" applyBorder="1" applyAlignment="1">
      <alignment horizontal="center" vertical="center"/>
    </xf>
    <xf numFmtId="60" fontId="11" fillId="7" borderId="7" xfId="0" applyNumberFormat="1" applyFont="1" applyFill="1" applyBorder="1" applyAlignment="1">
      <alignment horizontal="center" vertical="center"/>
    </xf>
    <xf numFmtId="305" fontId="16" fillId="7" borderId="8" xfId="3" applyNumberFormat="1" applyFill="1" applyBorder="1" applyAlignment="1">
      <alignment horizontal="center" vertical="center"/>
    </xf>
    <xf numFmtId="60" fontId="3" fillId="7" borderId="1" xfId="0">
      <alignment horizontal="center" vertical="center"/>
    </xf>
    <xf numFmtId="304" fontId="5" fillId="7" borderId="2" xfId="3" applyNumberFormat="1" applyFont="1" applyFill="1" applyBorder="1" applyAlignment="1">
      <alignment horizontal="center" vertical="center"/>
    </xf>
    <xf numFmtId="306" fontId="16" fillId="7" borderId="8" xfId="0" applyFill="1" applyBorder="1" applyAlignment="1">
      <alignment horizontal="center" vertical="center"/>
    </xf>
    <xf numFmtId="0" fontId="10" fillId="6" borderId="9" xfId="0" applyNumberFormat="1" applyFont="1" applyFill="1" applyBorder="1" applyAlignment="1">
      <alignment horizontal="center" vertical="center"/>
    </xf>
    <xf numFmtId="306" fontId="16" fillId="7" borderId="6" xfId="0" applyFill="1" applyBorder="1" applyAlignment="1">
      <alignment horizontal="center" vertical="center"/>
    </xf>
    <xf numFmtId="305" fontId="16" fillId="7" borderId="6" xfId="3" applyNumberFormat="1" applyFill="1" applyBorder="1" applyAlignment="1">
      <alignment horizontal="center" vertical="center"/>
    </xf>
    <xf numFmtId="303" fontId="3" fillId="8" borderId="1" xfId="0" applyNumberFormat="1" applyFont="1" applyFill="1" applyBorder="1" applyAlignment="1">
      <alignment horizontal="center" vertical="center"/>
    </xf>
    <xf numFmtId="304" fontId="3" fillId="8" borderId="1" xfId="3" applyNumberFormat="1" applyFont="1" applyFill="1" applyBorder="1" applyAlignment="1">
      <alignment horizontal="center" vertical="center"/>
    </xf>
    <xf numFmtId="0" fontId="12" fillId="9" borderId="10" xfId="0" applyNumberFormat="1" applyFont="1" applyFill="1" applyBorder="1" applyAlignment="1">
      <alignment horizontal="center" vertical="center"/>
    </xf>
    <xf numFmtId="302" fontId="7" fillId="8" borderId="2" xfId="0" applyNumberFormat="1" applyFont="1" applyFill="1" applyBorder="1" applyAlignment="1">
      <alignment horizontal="center" vertical="center"/>
    </xf>
    <xf numFmtId="306" fontId="16" fillId="8" borderId="8" xfId="0" applyFill="1" applyBorder="1" applyAlignment="1">
      <alignment horizontal="center" vertical="center"/>
    </xf>
    <xf numFmtId="306" fontId="5" fillId="10" borderId="2" xfId="0" applyFont="1" applyFill="1" applyBorder="1" applyAlignment="1">
      <alignment horizontal="center" vertical="center"/>
    </xf>
    <xf numFmtId="302" fontId="7" fillId="9" borderId="1" xfId="0" applyNumberFormat="1" applyFont="1" applyFill="1" applyBorder="1" applyAlignment="1">
      <alignment horizontal="center" vertical="center"/>
    </xf>
    <xf numFmtId="306" fontId="16" fillId="10" borderId="8" xfId="0" applyFill="1" applyBorder="1" applyAlignment="1">
      <alignment horizontal="center" vertical="center"/>
    </xf>
    <xf numFmtId="302" fontId="13" fillId="9" borderId="7" xfId="0">
      <alignment horizontal="center" vertical="center"/>
    </xf>
    <xf numFmtId="306" fontId="16" fillId="8" borderId="6" xfId="0" applyFill="1" applyBorder="1" applyAlignment="1">
      <alignment horizontal="center" vertical="center"/>
    </xf>
    <xf numFmtId="303" fontId="3" fillId="0" borderId="1" xfId="0" applyNumberFormat="1" applyFont="1" applyBorder="1" applyAlignment="1">
      <alignment horizontal="center" vertical="center"/>
    </xf>
    <xf numFmtId="302" fontId="7" fillId="0" borderId="1" xfId="0" applyNumberFormat="1" applyFont="1" applyBorder="1" applyAlignment="1">
      <alignment horizontal="center" vertical="center"/>
    </xf>
    <xf numFmtId="302" fontId="7" fillId="10" borderId="2" xfId="0" applyNumberFormat="1" applyFont="1" applyFill="1" applyBorder="1" applyAlignment="1">
      <alignment horizontal="center" vertical="center"/>
    </xf>
    <xf numFmtId="306" fontId="16" fillId="10" borderId="6" xfId="0" applyFill="1" applyBorder="1" applyAlignment="1">
      <alignment horizontal="center" vertical="center"/>
    </xf>
    <xf numFmtId="2" fontId="16" fillId="5" borderId="6" xfId="0" applyNumberFormat="1" applyFill="1" applyBorder="1" applyAlignment="1">
      <alignment horizontal="center" vertical="center"/>
    </xf>
    <xf numFmtId="306" fontId="3" fillId="10" borderId="18" xfId="0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306" fontId="10" fillId="6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3" fillId="0" borderId="1" xfId="0">
      <alignment horizontal="center" vertical="center"/>
    </xf>
    <xf numFmtId="306" fontId="10" fillId="6" borderId="9" xfId="0" applyFont="1" applyFill="1" applyBorder="1" applyAlignment="1">
      <alignment horizontal="center" vertical="center"/>
    </xf>
    <xf numFmtId="306" fontId="12" fillId="9" borderId="10" xfId="0" applyFont="1" applyFill="1" applyBorder="1" applyAlignment="1">
      <alignment horizontal="center" vertical="center"/>
    </xf>
    <xf numFmtId="301" fontId="3" fillId="0" borderId="18" xfId="0" applyNumberFormat="1" applyFont="1" applyAlignment="1">
      <alignment horizontal="center" vertical="center"/>
    </xf>
    <xf numFmtId="306" fontId="3" fillId="0" borderId="18" xfId="0" applyFont="1" applyAlignment="1">
      <alignment horizontal="center" vertical="center"/>
    </xf>
    <xf numFmtId="302" fontId="8" fillId="0" borderId="18" xfId="0" applyNumberFormat="1" applyFont="1" applyAlignment="1">
      <alignment horizontal="center" vertical="center"/>
    </xf>
    <xf numFmtId="306" fontId="8" fillId="0" borderId="18" xfId="0" applyFont="1" applyAlignment="1">
      <alignment horizontal="center" vertical="center"/>
    </xf>
    <xf numFmtId="302" fontId="7" fillId="4" borderId="1" xfId="0" applyNumberFormat="1" applyFont="1" applyFill="1" applyBorder="1" applyAlignment="1">
      <alignment horizontal="center" vertical="center"/>
    </xf>
    <xf numFmtId="302" fontId="7" fillId="8" borderId="1" xfId="0" applyNumberFormat="1" applyFont="1" applyFill="1" applyBorder="1" applyAlignment="1">
      <alignment horizontal="center" vertical="center"/>
    </xf>
    <xf numFmtId="306" fontId="3" fillId="3" borderId="1" xfId="0" applyFont="1" applyFill="1" applyBorder="1" applyAlignment="1">
      <alignment horizontal="center" vertical="center"/>
    </xf>
    <xf numFmtId="306" fontId="11" fillId="0" borderId="18" xfId="0" applyFont="1" applyAlignment="1">
      <alignment horizontal="center" vertical="center"/>
    </xf>
    <xf numFmtId="306" fontId="11" fillId="11" borderId="18" xfId="0" applyFont="1" applyFill="1" applyAlignment="1">
      <alignment horizontal="center" vertical="center"/>
    </xf>
    <xf numFmtId="306" fontId="11" fillId="12" borderId="18" xfId="0" applyFont="1" applyFill="1" applyAlignment="1">
      <alignment horizontal="center" vertical="center"/>
    </xf>
    <xf numFmtId="0" fontId="11" fillId="13" borderId="11" xfId="0">
      <alignment horizontal="center" vertical="center"/>
    </xf>
    <xf numFmtId="0" fontId="11" fillId="14" borderId="11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0" fillId="0" borderId="16" xfId="0">
      <alignment vertical="center"/>
    </xf>
    <xf numFmtId="0" fontId="14" fillId="0" borderId="18" xfId="0" applyNumberFormat="1" applyFont="1" applyAlignment="1">
      <alignment horizontal="left" vertical="center"/>
    </xf>
    <xf numFmtId="305" fontId="15" fillId="15" borderId="17" xfId="0">
      <alignment vertical="center" textRotation="0"/>
    </xf>
    <xf numFmtId="306" fontId="3" fillId="14" borderId="18" xfId="0" applyNumberFormat="1" applyFont="1" applyFill="1" applyBorder="1" applyAlignment="1">
      <alignment horizontal="center" vertical="center"/>
    </xf>
    <xf fontId="0" fillId="12" borderId="0" xfId="0">
      <alignment vertical="center"/>
    </xf>
  </cellXfs>
  <cellStyles>
    <cellStyle name="常规" xfId="0" builtinId="0"/>
    <cellStyle name="千位分隔[0]" xfId="1" builtinId="6"/>
    <cellStyle name="40% - 强调文字颜色 4" xfId="2" builtinId="43"/>
    <cellStyle name="百分比" xfId="3" builtinId="5"/>
    <cellStyle name="20% - 强调文字颜色 4" xfId="4" builtinId="42"/>
    <cellStyle name="货币" xfId="5" builtinId="4"/>
    <cellStyle name="强调文字颜色 4" xfId="6" builtinId="41"/>
    <cellStyle name="强调文字颜色 2" xfId="7" builtinId="33"/>
    <cellStyle name="20% - 强调文字颜色 2" xfId="8" builtinId="34"/>
    <cellStyle name="40% - 强调文字颜色 2" xfId="9" builtinId="35"/>
    <cellStyle name="60% - 强调文字颜色 2" xfId="10" builtinId="36"/>
    <cellStyle name="标题 1" xfId="11" builtinId="16"/>
    <cellStyle name="解释性文本" xfId="12" builtinId="53"/>
    <cellStyle name="40% - 强调文字颜色 3" xfId="13" builtinId="39"/>
    <cellStyle name="40% - 强调文字颜色 5" xfId="14" builtinId="47"/>
    <cellStyle name="注释" xfId="15" builtinId="10"/>
    <cellStyle name="60% - 强调文字颜色 4" xfId="16" builtinId="44"/>
    <cellStyle name="货币[0]" xfId="17" builtinId="7"/>
    <cellStyle name="警告文本" xfId="18" builtinId="11"/>
    <cellStyle name="60% - 强调文字颜色 5" xfId="19" builtinId="48"/>
    <cellStyle name="强调文字颜色 5" xfId="20" builtinId="45"/>
    <cellStyle name="超链接" xfId="21" builtinId="8"/>
    <cellStyle name="20% - 强调文字颜色 5" xfId="22" builtinId="46"/>
    <cellStyle name="已访问的超链接" xfId="23" builtinId="9"/>
    <cellStyle name="好" xfId="24" builtinId="26"/>
    <cellStyle name="40% - 强调文字颜色 6" xfId="25" builtinId="51"/>
    <cellStyle name="20% - 强调文字颜色 6" xfId="26" builtinId="50"/>
    <cellStyle name="强调文字颜色 6" xfId="27" builtinId="49"/>
    <cellStyle name="标题" xfId="28" builtinId="15"/>
    <cellStyle name="60% - 强调文字颜色 6" xfId="29" builtinId="52"/>
    <cellStyle name="标题 3" xfId="30" builtinId="18"/>
    <cellStyle name="标题 4" xfId="31" builtinId="19"/>
    <cellStyle name="标题 2" xfId="32" builtinId="17"/>
    <cellStyle name="强调文字颜色 3" xfId="33" builtinId="37"/>
    <cellStyle name="链接单元格" xfId="34" builtinId="24"/>
    <cellStyle name="汇总" xfId="35" builtinId="25"/>
    <cellStyle name="60% - 强调文字颜色 3" xfId="36" builtinId="40"/>
    <cellStyle name="千位分隔" xfId="37" builtinId="3"/>
    <cellStyle name="检查单元格" xfId="38" builtinId="23"/>
    <cellStyle name="计算" xfId="39" builtinId="22"/>
    <cellStyle name="输出" xfId="40" builtinId="21"/>
    <cellStyle name="输入" xfId="41" builtinId="20"/>
    <cellStyle name="差" xfId="42" builtinId="27"/>
    <cellStyle name="适中" xfId="43" builtinId="28"/>
    <cellStyle name="强调文字颜色 1" xfId="44" builtinId="29"/>
    <cellStyle name="20% - 强调文字颜色 1" xfId="45" builtinId="30"/>
    <cellStyle name="40% - 强调文字颜色 1" xfId="46" builtinId="31"/>
    <cellStyle name="60% - 强调文字颜色 1" xfId="47" builtinId="32"/>
    <cellStyle name="20% - 强调文字颜色 3" xfId="48" builtinId="38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Leo." id="{321B7123-DD55-4C5F-AEAD-C4EAC990F11E}"/>
</tc2018: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0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189"/>
  <sheetViews>
    <sheetView showGridLines="1" tabSelected="0" zoomScale="70" zoomScaleNormal="70" workbookViewId="0"/>
  </sheetViews>
  <sheetFormatPr defaultColWidth="9" defaultRowHeight="14"/>
  <cols>
    <col min="1" max="1" width="11.5" style="100" customWidth="1"/>
    <col min="2" max="2" width="11.8727" style="100" customWidth="1"/>
    <col min="3" max="3" width="9.5" style="100" customWidth="1"/>
    <col min="4" max="4" width="15.2545" style="100" customWidth="1"/>
    <col min="5" max="5" width="17.6273" style="100" customWidth="1"/>
    <col min="6" max="6" width="11.2545" style="100" customWidth="1"/>
    <col min="7" max="7" width="12" style="100" customWidth="1"/>
    <col min="8" max="8" width="10.2545" style="100" customWidth="1"/>
    <col min="9" max="9" width="11.1273" style="100" customWidth="1"/>
    <col min="10" max="10" width="11.2545" style="100" customWidth="1"/>
    <col min="11" max="11" width="9.62727" style="100" customWidth="1"/>
    <col min="12" max="12" width="11.2545" style="100" customWidth="1"/>
    <col min="13" max="14" width="10.8727" style="100" customWidth="1"/>
    <col min="15" max="15" width="13.8727" style="100" customWidth="1"/>
    <col min="16" max="16" width="11.3727" style="100" customWidth="1"/>
    <col min="17" max="17" width="10.8727" style="100" customWidth="1"/>
    <col min="18" max="19" width="12.5" style="100" customWidth="1"/>
    <col min="20" max="20" width="12.7545" style="100" customWidth="1"/>
    <col min="21" max="21" width="12" style="100" customWidth="1"/>
    <col min="22" max="22" width="21.2545" style="100" customWidth="1"/>
    <col min="23" max="26" width="9" style="100"/>
  </cols>
  <sheetData>
    <row r="1" spans="1:4" ht="16.5">
      <c r="A1" s="4" t="s">
        <v>45</v>
      </c>
      <c r="B1" s="5">
        <v>46285</v>
      </c>
      <c r="C1" s="4" t="s">
        <v>46</v>
      </c>
      <c r="D1" s="98" t="s">
        <v>68</v>
      </c>
    </row>
    <row r="2" spans="1:22" ht="29.25" customHeight="1">
      <c r="A2" s="7" t="s">
        <v>1</v>
      </c>
      <c r="B2" s="8" t="s">
        <v>48</v>
      </c>
      <c r="C2" s="9" t="s"/>
      <c r="D2" s="10" t="s"/>
      <c r="E2" s="11" t="s">
        <v>2</v>
      </c>
      <c r="F2" s="12" t="s">
        <v>49</v>
      </c>
      <c r="G2" s="13" t="s"/>
      <c r="H2" s="13" t="s"/>
      <c r="I2" s="13" t="s"/>
      <c r="J2" s="13" t="s"/>
      <c r="K2" s="13" t="s"/>
      <c r="L2" s="13" t="s"/>
      <c r="M2" s="13" t="s"/>
      <c r="N2" s="14" t="s"/>
      <c r="O2" s="15" t="s">
        <v>50</v>
      </c>
      <c r="P2" s="16" t="s"/>
      <c r="Q2" s="16" t="s"/>
      <c r="R2" s="16" t="s"/>
      <c r="S2" s="16" t="s"/>
      <c r="T2" s="17" t="s"/>
      <c r="U2" s="18" t="s">
        <v>3</v>
      </c>
      <c r="V2" s="4" t="s"/>
    </row>
    <row r="3" spans="1:22" ht="16.5">
      <c r="A3" s="19" t="s"/>
      <c r="B3" s="20" t="s">
        <v>51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2" t="s"/>
      <c r="K3" s="21" t="s">
        <v>11</v>
      </c>
      <c r="L3" s="23" t="s"/>
      <c r="M3" s="21" t="s">
        <v>12</v>
      </c>
      <c r="N3" s="22" t="s"/>
      <c r="O3" s="21" t="s">
        <v>13</v>
      </c>
      <c r="P3" s="22" t="s"/>
      <c r="Q3" s="21" t="s">
        <v>14</v>
      </c>
      <c r="R3" s="23" t="s"/>
      <c r="S3" s="21" t="s">
        <v>15</v>
      </c>
      <c r="T3" s="22" t="s"/>
      <c r="U3" s="18" t="s">
        <v>16</v>
      </c>
      <c r="V3" s="4" t="s"/>
    </row>
    <row r="4" spans="1:23" ht="16.5">
      <c r="A4" s="18" t="s">
        <v>17</v>
      </c>
      <c r="B4" s="4" t="s">
        <v>52</v>
      </c>
      <c r="C4" s="4" t="s">
        <v>18</v>
      </c>
      <c r="D4" s="4" t="s">
        <v>19</v>
      </c>
      <c r="E4" s="4" t="s">
        <v>20</v>
      </c>
      <c r="F4" s="24" t="s">
        <v>21</v>
      </c>
      <c r="G4" s="24" t="s">
        <v>22</v>
      </c>
      <c r="H4" s="24" t="s">
        <v>23</v>
      </c>
      <c r="I4" s="24" t="s">
        <v>24</v>
      </c>
      <c r="J4" s="24" t="s">
        <v>25</v>
      </c>
      <c r="K4" s="24" t="s">
        <v>26</v>
      </c>
      <c r="L4" s="24" t="s">
        <v>27</v>
      </c>
      <c r="M4" s="24" t="s">
        <v>28</v>
      </c>
      <c r="N4" s="24" t="s">
        <v>29</v>
      </c>
      <c r="O4" s="25" t="s">
        <v>53</v>
      </c>
      <c r="P4" s="24" t="s">
        <v>25</v>
      </c>
      <c r="Q4" s="24" t="s">
        <v>26</v>
      </c>
      <c r="R4" s="24" t="s">
        <v>27</v>
      </c>
      <c r="S4" s="25" t="s">
        <v>54</v>
      </c>
      <c r="T4" s="25" t="s">
        <v>55</v>
      </c>
      <c r="U4" s="4" t="s">
        <v>30</v>
      </c>
      <c r="V4" s="26" t="s">
        <v>31</v>
      </c>
      <c r="W4" s="92" t="s">
        <v>39</v>
      </c>
    </row>
    <row r="5" spans="1:22">
      <c r="A5" s="27" t="s"/>
      <c r="B5" s="28">
        <v>10.85</v>
      </c>
      <c r="C5" s="4">
        <v>1000</v>
      </c>
      <c r="D5" s="4">
        <v>99</v>
      </c>
      <c r="E5" s="29">
        <v>15</v>
      </c>
      <c r="F5" s="30">
        <v>250</v>
      </c>
      <c r="G5" s="30">
        <v>2.6</v>
      </c>
      <c r="H5" s="31">
        <v>0.45</v>
      </c>
      <c r="I5" s="99">
        <v>293.7</v>
      </c>
      <c r="J5" s="33">
        <f>=AVERAGE(I5:I34)</f>
        <v>295.076666666667</v>
      </c>
      <c r="K5" s="34">
        <f>=I5-J5</f>
        <v>-1.37666666666667</v>
      </c>
      <c r="L5" s="35">
        <f>=K5/J5</f>
        <v>-0.00466545417575093</v>
      </c>
      <c r="M5" s="36" t="s"/>
      <c r="N5" s="37" t="e">
        <f>=AVERAGE(M5:M19)</f>
        <v>#DIV/0!</v>
      </c>
      <c r="O5" s="38" t="s"/>
      <c r="P5" s="39" t="e">
        <f>=AVERAGE(O5:O14)</f>
        <v>#DIV/0!</v>
      </c>
      <c r="Q5" s="40" t="e">
        <f>=O5-P5</f>
        <v>#DIV/0!</v>
      </c>
      <c r="R5" s="41" t="e">
        <f>=Q5/P5</f>
        <v>#DIV/0!</v>
      </c>
      <c r="S5" s="42" t="s"/>
      <c r="T5" s="43" t="e">
        <f>=AVERAGE(S5:S9)</f>
        <v>#DIV/0!</v>
      </c>
      <c r="U5" s="44" t="e">
        <f>=((T5+T15+T25)/3)/N5</f>
        <v>#DIV/0!</v>
      </c>
      <c r="V5" s="45" t="s"/>
    </row>
    <row r="6" spans="1:22">
      <c r="A6" s="27" t="s"/>
      <c r="B6" s="28">
        <v>10.85</v>
      </c>
      <c r="C6" s="4">
        <v>1000</v>
      </c>
      <c r="D6" s="4">
        <v>99</v>
      </c>
      <c r="E6" s="29">
        <v>15</v>
      </c>
      <c r="F6" s="46">
        <v>250</v>
      </c>
      <c r="G6" s="46">
        <v>2.6</v>
      </c>
      <c r="H6" s="46">
        <v>0.45</v>
      </c>
      <c r="I6" s="99">
        <v>299.6</v>
      </c>
      <c r="J6" s="33" t="s"/>
      <c r="K6" s="34">
        <f>=I6-J5</f>
        <v>4.52333333333337</v>
      </c>
      <c r="L6" s="35">
        <f>=K6/J5</f>
        <v>0.0153293494346103</v>
      </c>
      <c r="M6" s="36" t="s"/>
      <c r="N6" s="47" t="s"/>
      <c r="O6" s="38" t="s"/>
      <c r="P6" s="48" t="s"/>
      <c r="Q6" s="40" t="e">
        <f>=O6-P5</f>
        <v>#DIV/0!</v>
      </c>
      <c r="R6" s="41" t="e">
        <f>=Q6/P5</f>
        <v>#DIV/0!</v>
      </c>
      <c r="S6" s="49" t="s"/>
      <c r="T6" s="50" t="s"/>
      <c r="U6" s="48" t="s"/>
      <c r="V6" s="4" t="s"/>
    </row>
    <row r="7" spans="1:22">
      <c r="A7" s="27" t="s"/>
      <c r="B7" s="28">
        <v>10.85</v>
      </c>
      <c r="C7" s="4">
        <v>1000</v>
      </c>
      <c r="D7" s="4">
        <v>99</v>
      </c>
      <c r="E7" s="29">
        <v>15</v>
      </c>
      <c r="F7" s="46">
        <v>250</v>
      </c>
      <c r="G7" s="46">
        <v>2.6</v>
      </c>
      <c r="H7" s="46">
        <v>0.45</v>
      </c>
      <c r="I7" s="99">
        <v>299.9</v>
      </c>
      <c r="J7" s="33" t="s"/>
      <c r="K7" s="34">
        <f>=I7-J5</f>
        <v>4.82333333333332</v>
      </c>
      <c r="L7" s="35">
        <f>=K7/J5</f>
        <v>0.0163460343639506</v>
      </c>
      <c r="M7" s="36" t="s"/>
      <c r="N7" s="47" t="s"/>
      <c r="O7" s="38" t="s"/>
      <c r="P7" s="48" t="s"/>
      <c r="Q7" s="40" t="e">
        <f>=O7-P5</f>
        <v>#DIV/0!</v>
      </c>
      <c r="R7" s="41" t="e">
        <f>=Q7/P5</f>
        <v>#DIV/0!</v>
      </c>
      <c r="S7" s="51" t="s"/>
      <c r="T7" s="50" t="s"/>
      <c r="U7" s="48" t="s"/>
      <c r="V7" s="4" t="s"/>
    </row>
    <row r="8" spans="1:22">
      <c r="A8" s="27" t="s"/>
      <c r="B8" s="28">
        <v>10.85</v>
      </c>
      <c r="C8" s="4">
        <v>1000</v>
      </c>
      <c r="D8" s="4">
        <v>99</v>
      </c>
      <c r="E8" s="29">
        <v>15</v>
      </c>
      <c r="F8" s="46">
        <v>250</v>
      </c>
      <c r="G8" s="46">
        <v>2.6</v>
      </c>
      <c r="H8" s="46">
        <v>0.45</v>
      </c>
      <c r="I8" s="99">
        <v>292</v>
      </c>
      <c r="J8" s="33" t="s"/>
      <c r="K8" s="34">
        <f>=I8-J5</f>
        <v>-3.07666666666665</v>
      </c>
      <c r="L8" s="35">
        <f>=K8/J5</f>
        <v>-0.0104266687753465</v>
      </c>
      <c r="M8" s="36" t="s"/>
      <c r="N8" s="47" t="s"/>
      <c r="O8" s="38" t="s"/>
      <c r="P8" s="48" t="s"/>
      <c r="Q8" s="40" t="e">
        <f>=O8-P5</f>
        <v>#DIV/0!</v>
      </c>
      <c r="R8" s="41" t="e">
        <f>=Q8/P5</f>
        <v>#DIV/0!</v>
      </c>
      <c r="S8" s="42" t="s"/>
      <c r="T8" s="50" t="s"/>
      <c r="U8" s="48" t="s"/>
      <c r="V8" s="4" t="s"/>
    </row>
    <row r="9" spans="1:22">
      <c r="A9" s="27" t="s"/>
      <c r="B9" s="28">
        <v>10.85</v>
      </c>
      <c r="C9" s="4">
        <v>1000</v>
      </c>
      <c r="D9" s="4">
        <v>99</v>
      </c>
      <c r="E9" s="29">
        <v>15</v>
      </c>
      <c r="F9" s="46">
        <v>250</v>
      </c>
      <c r="G9" s="46">
        <v>2.6</v>
      </c>
      <c r="H9" s="46">
        <v>0.45</v>
      </c>
      <c r="I9" s="99">
        <v>298.6</v>
      </c>
      <c r="J9" s="33" t="s"/>
      <c r="K9" s="34">
        <f>=I9-J5</f>
        <v>3.52333333333337</v>
      </c>
      <c r="L9" s="35">
        <f>=K9/J5</f>
        <v>0.0119403996701423</v>
      </c>
      <c r="M9" s="36" t="s"/>
      <c r="N9" s="47" t="s"/>
      <c r="O9" s="38" t="s"/>
      <c r="P9" s="48" t="s"/>
      <c r="Q9" s="40" t="e">
        <f>=O9-P5</f>
        <v>#DIV/0!</v>
      </c>
      <c r="R9" s="41" t="e">
        <f>=Q9/P5</f>
        <v>#DIV/0!</v>
      </c>
      <c r="S9" s="42" t="s"/>
      <c r="T9" s="50" t="s"/>
      <c r="U9" s="48" t="s"/>
      <c r="V9" s="4" t="s"/>
    </row>
    <row r="10" spans="1:22">
      <c r="A10" s="27" t="s"/>
      <c r="B10" s="28">
        <v>10.85</v>
      </c>
      <c r="C10" s="4">
        <v>1000</v>
      </c>
      <c r="D10" s="4">
        <v>99</v>
      </c>
      <c r="E10" s="29">
        <v>15</v>
      </c>
      <c r="F10" s="46">
        <v>250</v>
      </c>
      <c r="G10" s="46">
        <v>2.6</v>
      </c>
      <c r="H10" s="46">
        <v>0.45</v>
      </c>
      <c r="I10" s="99">
        <v>293.3</v>
      </c>
      <c r="J10" s="33" t="s"/>
      <c r="K10" s="34">
        <v>3</v>
      </c>
      <c r="L10" s="35">
        <f>=K10/J5</f>
        <v>0.010166849293404</v>
      </c>
      <c r="M10" s="36" t="s"/>
      <c r="N10" s="47" t="s"/>
      <c r="O10" s="38" t="s"/>
      <c r="P10" s="48" t="s"/>
      <c r="Q10" s="40" t="e">
        <f>=O10-P5</f>
        <v>#DIV/0!</v>
      </c>
      <c r="R10" s="41" t="e">
        <f>=Q10/P5</f>
        <v>#DIV/0!</v>
      </c>
      <c r="S10" s="52" t="s">
        <v>32</v>
      </c>
      <c r="T10" s="50" t="s"/>
      <c r="U10" s="48" t="s"/>
      <c r="V10" s="4" t="s"/>
    </row>
    <row r="11" spans="1:22">
      <c r="A11" s="27" t="s"/>
      <c r="B11" s="28">
        <v>10.85</v>
      </c>
      <c r="C11" s="4">
        <v>1000</v>
      </c>
      <c r="D11" s="4">
        <v>99</v>
      </c>
      <c r="E11" s="29">
        <v>15</v>
      </c>
      <c r="F11" s="46">
        <v>250</v>
      </c>
      <c r="G11" s="46">
        <v>2.6</v>
      </c>
      <c r="H11" s="46">
        <v>0.45</v>
      </c>
      <c r="I11" s="99">
        <v>292</v>
      </c>
      <c r="J11" s="33" t="s"/>
      <c r="K11" s="34">
        <f>=I11-J5</f>
        <v>-3.07666666666665</v>
      </c>
      <c r="L11" s="35">
        <f>=K11/J5</f>
        <v>-0.0104266687753465</v>
      </c>
      <c r="M11" s="36" t="s"/>
      <c r="N11" s="47" t="s"/>
      <c r="O11" s="38" t="s"/>
      <c r="P11" s="48" t="s"/>
      <c r="Q11" s="40" t="e">
        <f>=O11-P5</f>
        <v>#DIV/0!</v>
      </c>
      <c r="R11" s="41" t="e">
        <f>=Q11/P5</f>
        <v>#DIV/0!</v>
      </c>
      <c r="S11" s="53" t="s"/>
      <c r="T11" s="50" t="s"/>
      <c r="U11" s="48" t="s"/>
      <c r="V11" s="4" t="s"/>
    </row>
    <row r="12" spans="1:22">
      <c r="A12" s="4" t="s"/>
      <c r="B12" s="28">
        <v>10.85</v>
      </c>
      <c r="C12" s="4">
        <v>1000</v>
      </c>
      <c r="D12" s="4">
        <v>99</v>
      </c>
      <c r="E12" s="29">
        <v>15</v>
      </c>
      <c r="F12" s="46">
        <v>250</v>
      </c>
      <c r="G12" s="46">
        <v>2.6</v>
      </c>
      <c r="H12" s="46">
        <v>0.45</v>
      </c>
      <c r="I12" s="99">
        <v>287.7</v>
      </c>
      <c r="J12" s="33" t="s"/>
      <c r="K12" s="34">
        <f>=I12-J5</f>
        <v>-7.37666666666667</v>
      </c>
      <c r="L12" s="35">
        <f>=K12/J5</f>
        <v>-0.0249991527625589</v>
      </c>
      <c r="M12" s="36" t="s"/>
      <c r="N12" s="47" t="s"/>
      <c r="O12" s="38" t="s"/>
      <c r="P12" s="48" t="s"/>
      <c r="Q12" s="40" t="e">
        <f>=O12-P5</f>
        <v>#DIV/0!</v>
      </c>
      <c r="R12" s="41" t="e">
        <f>=Q12/P5</f>
        <v>#DIV/0!</v>
      </c>
      <c r="S12" s="53" t="s"/>
      <c r="T12" s="50" t="s"/>
      <c r="U12" s="48" t="s"/>
      <c r="V12" s="4" t="s"/>
    </row>
    <row r="13" spans="1:22">
      <c r="A13" s="4" t="s"/>
      <c r="B13" s="28">
        <v>10.85</v>
      </c>
      <c r="C13" s="4">
        <v>1000</v>
      </c>
      <c r="D13" s="4">
        <v>99</v>
      </c>
      <c r="E13" s="29">
        <v>15</v>
      </c>
      <c r="F13" s="46">
        <v>250</v>
      </c>
      <c r="G13" s="46">
        <v>2.6</v>
      </c>
      <c r="H13" s="46">
        <v>0.45</v>
      </c>
      <c r="I13" s="99">
        <v>282.9</v>
      </c>
      <c r="J13" s="33" t="s"/>
      <c r="K13" s="34">
        <f>=I13-J5</f>
        <v>-12.1766666666667</v>
      </c>
      <c r="L13" s="35">
        <f>=K13/J5</f>
        <v>-0.0412661116320053</v>
      </c>
      <c r="M13" s="36" t="s"/>
      <c r="N13" s="47" t="s"/>
      <c r="O13" s="38" t="s"/>
      <c r="P13" s="48" t="s"/>
      <c r="Q13" s="40" t="e">
        <f>=O13-P5</f>
        <v>#DIV/0!</v>
      </c>
      <c r="R13" s="41" t="e">
        <f>=Q13/P5</f>
        <v>#DIV/0!</v>
      </c>
      <c r="S13" s="53" t="s"/>
      <c r="T13" s="50" t="s"/>
      <c r="U13" s="48" t="s"/>
      <c r="V13" s="4" t="s"/>
    </row>
    <row r="14" spans="1:22">
      <c r="A14" s="4" t="s"/>
      <c r="B14" s="28">
        <v>10.85</v>
      </c>
      <c r="C14" s="4">
        <v>1000</v>
      </c>
      <c r="D14" s="4">
        <v>99</v>
      </c>
      <c r="E14" s="29">
        <v>15</v>
      </c>
      <c r="F14" s="46">
        <v>250</v>
      </c>
      <c r="G14" s="46">
        <v>2.6</v>
      </c>
      <c r="H14" s="46">
        <v>0.45</v>
      </c>
      <c r="I14" s="99">
        <v>291.5</v>
      </c>
      <c r="J14" s="33" t="s"/>
      <c r="K14" s="34">
        <f>=I14-J5</f>
        <v>-3.57666666666665</v>
      </c>
      <c r="L14" s="35">
        <f>=K14/J5</f>
        <v>-0.0121211436575805</v>
      </c>
      <c r="M14" s="36" t="s"/>
      <c r="N14" s="47" t="s"/>
      <c r="O14" s="54" t="s"/>
      <c r="P14" s="19" t="s"/>
      <c r="Q14" s="40" t="e">
        <f>=O14-P5</f>
        <v>#DIV/0!</v>
      </c>
      <c r="R14" s="41" t="e">
        <f>=Q14/P5</f>
        <v>#DIV/0!</v>
      </c>
      <c r="S14" s="55" t="s"/>
      <c r="T14" s="56" t="s"/>
      <c r="U14" s="48" t="s"/>
      <c r="V14" s="4" t="s"/>
    </row>
    <row r="15" spans="1:22">
      <c r="A15" s="4" t="s"/>
      <c r="B15" s="28">
        <v>10.85</v>
      </c>
      <c r="C15" s="4">
        <v>1000</v>
      </c>
      <c r="D15" s="4">
        <v>99</v>
      </c>
      <c r="E15" s="29">
        <v>15</v>
      </c>
      <c r="F15" s="46">
        <v>250</v>
      </c>
      <c r="G15" s="46">
        <v>2.6</v>
      </c>
      <c r="H15" s="46">
        <v>0.45</v>
      </c>
      <c r="I15" s="99">
        <v>298.6</v>
      </c>
      <c r="J15" s="33" t="s"/>
      <c r="K15" s="57">
        <f>=I15-J5</f>
        <v>3.52333333333337</v>
      </c>
      <c r="L15" s="58">
        <f>=K15/J5</f>
        <v>0.0119403996701423</v>
      </c>
      <c r="M15" s="36" t="s"/>
      <c r="N15" s="47" t="s"/>
      <c r="O15" s="59" t="s"/>
      <c r="P15" s="60" t="e">
        <f>=AVERAGE(O15:O24)</f>
        <v>#DIV/0!</v>
      </c>
      <c r="Q15" s="40" t="e">
        <f>=O15-P15</f>
        <v>#DIV/0!</v>
      </c>
      <c r="R15" s="41" t="e">
        <f>=Q15/P15</f>
        <v>#DIV/0!</v>
      </c>
      <c r="S15" s="42" t="s"/>
      <c r="T15" s="43" t="e">
        <f>=AVERAGE(S15:S19)</f>
        <v>#DIV/0!</v>
      </c>
      <c r="U15" s="48" t="s"/>
      <c r="V15" s="4" t="s"/>
    </row>
    <row r="16" spans="1:22">
      <c r="A16" s="4" t="s"/>
      <c r="B16" s="28">
        <v>10.85</v>
      </c>
      <c r="C16" s="4">
        <v>1000</v>
      </c>
      <c r="D16" s="4">
        <v>99</v>
      </c>
      <c r="E16" s="29">
        <v>15</v>
      </c>
      <c r="F16" s="46">
        <v>250</v>
      </c>
      <c r="G16" s="46">
        <v>2.6</v>
      </c>
      <c r="H16" s="46">
        <v>0.45</v>
      </c>
      <c r="I16" s="99">
        <v>294.2</v>
      </c>
      <c r="J16" s="33" t="s"/>
      <c r="K16" s="57">
        <f>=I16-J5</f>
        <v>-0.876666666666665</v>
      </c>
      <c r="L16" s="58">
        <f>=K16/J5</f>
        <v>-0.00297097929351693</v>
      </c>
      <c r="M16" s="36" t="s"/>
      <c r="N16" s="47" t="s"/>
      <c r="O16" s="59" t="s"/>
      <c r="P16" s="61" t="s"/>
      <c r="Q16" s="40" t="e">
        <f>=O16-P15</f>
        <v>#DIV/0!</v>
      </c>
      <c r="R16" s="41" t="e">
        <f>=Q16/P15</f>
        <v>#DIV/0!</v>
      </c>
      <c r="S16" s="42" t="s"/>
      <c r="T16" s="50" t="s"/>
      <c r="U16" s="48" t="s"/>
      <c r="V16" s="4" t="s"/>
    </row>
    <row r="17" spans="1:22">
      <c r="A17" s="4" t="s"/>
      <c r="B17" s="28">
        <v>10.85</v>
      </c>
      <c r="C17" s="4">
        <v>1000</v>
      </c>
      <c r="D17" s="4">
        <v>99</v>
      </c>
      <c r="E17" s="29">
        <v>15</v>
      </c>
      <c r="F17" s="46">
        <v>250</v>
      </c>
      <c r="G17" s="46">
        <v>2.6</v>
      </c>
      <c r="H17" s="46">
        <v>0.45</v>
      </c>
      <c r="I17" s="99">
        <v>289.2</v>
      </c>
      <c r="J17" s="33" t="s"/>
      <c r="K17" s="57">
        <f>=I17-J5</f>
        <v>-5.87666666666667</v>
      </c>
      <c r="L17" s="58">
        <f>=K17/J5</f>
        <v>-0.0199157281158569</v>
      </c>
      <c r="M17" s="36" t="s"/>
      <c r="N17" s="47" t="s"/>
      <c r="O17" s="59" t="s"/>
      <c r="P17" s="61" t="s"/>
      <c r="Q17" s="40" t="e">
        <f>=O17-P15</f>
        <v>#DIV/0!</v>
      </c>
      <c r="R17" s="41" t="e">
        <f>=Q17/P15</f>
        <v>#DIV/0!</v>
      </c>
      <c r="S17" s="42" t="s"/>
      <c r="T17" s="50" t="s"/>
      <c r="U17" s="48" t="s"/>
      <c r="V17" s="4" t="s"/>
    </row>
    <row r="18" spans="1:22">
      <c r="A18" s="4" t="s"/>
      <c r="B18" s="28">
        <v>10.85</v>
      </c>
      <c r="C18" s="4">
        <v>1000</v>
      </c>
      <c r="D18" s="4">
        <v>99</v>
      </c>
      <c r="E18" s="29">
        <v>15</v>
      </c>
      <c r="F18" s="46">
        <v>250</v>
      </c>
      <c r="G18" s="46">
        <v>2.6</v>
      </c>
      <c r="H18" s="46">
        <v>0.45</v>
      </c>
      <c r="I18" s="99">
        <v>291.8</v>
      </c>
      <c r="J18" s="33" t="s"/>
      <c r="K18" s="57">
        <f>=I18-J5</f>
        <v>-3.27666666666664</v>
      </c>
      <c r="L18" s="58">
        <f>=K18/J5</f>
        <v>-0.01110445872824</v>
      </c>
      <c r="M18" s="36" t="s"/>
      <c r="N18" s="47" t="s"/>
      <c r="O18" s="59" t="s"/>
      <c r="P18" s="61" t="s"/>
      <c r="Q18" s="40" t="e">
        <f>=O18-P15</f>
        <v>#DIV/0!</v>
      </c>
      <c r="R18" s="41" t="e">
        <f>=Q18/P15</f>
        <v>#DIV/0!</v>
      </c>
      <c r="S18" s="42" t="s"/>
      <c r="T18" s="50" t="s"/>
      <c r="U18" s="48" t="s"/>
      <c r="V18" s="4" t="s"/>
    </row>
    <row r="19" spans="1:22">
      <c r="A19" s="4" t="s"/>
      <c r="B19" s="28">
        <v>10.85</v>
      </c>
      <c r="C19" s="4">
        <v>1000</v>
      </c>
      <c r="D19" s="4">
        <v>99</v>
      </c>
      <c r="E19" s="29">
        <v>15</v>
      </c>
      <c r="F19" s="46">
        <v>250</v>
      </c>
      <c r="G19" s="46">
        <v>2.6</v>
      </c>
      <c r="H19" s="46">
        <v>0.45</v>
      </c>
      <c r="I19" s="99">
        <v>298.8</v>
      </c>
      <c r="J19" s="33" t="s"/>
      <c r="K19" s="57">
        <f>=I19-J5</f>
        <v>3.72333333333336</v>
      </c>
      <c r="L19" s="58">
        <f>=K19/J5</f>
        <v>0.0126181896230359</v>
      </c>
      <c r="M19" s="36" t="s"/>
      <c r="N19" s="47" t="s"/>
      <c r="O19" s="59" t="s"/>
      <c r="P19" s="61" t="s"/>
      <c r="Q19" s="40" t="e">
        <f>=O19-P15</f>
        <v>#DIV/0!</v>
      </c>
      <c r="R19" s="41" t="e">
        <f>=Q19/P15</f>
        <v>#DIV/0!</v>
      </c>
      <c r="S19" s="42" t="s"/>
      <c r="T19" s="50" t="s"/>
      <c r="U19" s="48" t="s"/>
      <c r="V19" s="4" t="s"/>
    </row>
    <row r="20" spans="1:22">
      <c r="A20" s="4" t="s"/>
      <c r="B20" s="28">
        <v>10.85</v>
      </c>
      <c r="C20" s="4">
        <v>1000</v>
      </c>
      <c r="D20" s="4">
        <v>99</v>
      </c>
      <c r="E20" s="29">
        <v>15</v>
      </c>
      <c r="F20" s="46">
        <v>250</v>
      </c>
      <c r="G20" s="46">
        <v>2.6</v>
      </c>
      <c r="H20" s="46">
        <v>0.45</v>
      </c>
      <c r="I20" s="99">
        <v>295.2</v>
      </c>
      <c r="J20" s="33" t="s"/>
      <c r="K20" s="57">
        <f>=I20-J5</f>
        <v>0.123333333333335</v>
      </c>
      <c r="L20" s="58">
        <f>=K20/J5</f>
        <v>0.000417970470951058</v>
      </c>
      <c r="M20" s="62" t="s">
        <v>32</v>
      </c>
      <c r="N20" s="47" t="s"/>
      <c r="O20" s="63" t="s"/>
      <c r="P20" s="61" t="s"/>
      <c r="Q20" s="40" t="e">
        <f>=O20-P15</f>
        <v>#DIV/0!</v>
      </c>
      <c r="R20" s="41" t="e">
        <f>=Q20/P15</f>
        <v>#DIV/0!</v>
      </c>
      <c r="S20" s="52" t="s">
        <v>32</v>
      </c>
      <c r="T20" s="50" t="s"/>
      <c r="U20" s="48" t="s"/>
      <c r="V20" s="4" t="s"/>
    </row>
    <row r="21" spans="1:22">
      <c r="A21" s="4" t="s"/>
      <c r="B21" s="28">
        <v>10.85</v>
      </c>
      <c r="C21" s="4">
        <v>1000</v>
      </c>
      <c r="D21" s="4">
        <v>99</v>
      </c>
      <c r="E21" s="29">
        <v>15</v>
      </c>
      <c r="F21" s="46">
        <v>250</v>
      </c>
      <c r="G21" s="46">
        <v>2.6</v>
      </c>
      <c r="H21" s="46">
        <v>0.45</v>
      </c>
      <c r="I21" s="99">
        <v>300.9</v>
      </c>
      <c r="J21" s="33" t="s"/>
      <c r="K21" s="57">
        <f>=I21-J5</f>
        <v>5.82333333333332</v>
      </c>
      <c r="L21" s="58">
        <f>=K21/J5</f>
        <v>0.0197349841284186</v>
      </c>
      <c r="M21" s="64" t="s"/>
      <c r="N21" s="47" t="s"/>
      <c r="O21" s="63" t="s"/>
      <c r="P21" s="61" t="s"/>
      <c r="Q21" s="40" t="e">
        <f>=O21-P15</f>
        <v>#DIV/0!</v>
      </c>
      <c r="R21" s="41" t="e">
        <f>=Q21/P15</f>
        <v>#DIV/0!</v>
      </c>
      <c r="S21" s="53" t="s"/>
      <c r="T21" s="50" t="s"/>
      <c r="U21" s="48" t="s"/>
      <c r="V21" s="4" t="s"/>
    </row>
    <row r="22" spans="1:22">
      <c r="A22" s="4" t="s"/>
      <c r="B22" s="28">
        <v>10.85</v>
      </c>
      <c r="C22" s="4">
        <v>1000</v>
      </c>
      <c r="D22" s="4">
        <v>99</v>
      </c>
      <c r="E22" s="29">
        <v>15</v>
      </c>
      <c r="F22" s="46">
        <v>250</v>
      </c>
      <c r="G22" s="46">
        <v>2.6</v>
      </c>
      <c r="H22" s="46">
        <v>0.45</v>
      </c>
      <c r="I22" s="99">
        <v>295.1</v>
      </c>
      <c r="J22" s="33" t="s"/>
      <c r="K22" s="57">
        <f>=I22-J5</f>
        <v>0.023333333333369</v>
      </c>
      <c r="L22" s="58">
        <f>=K22/J5</f>
        <v>0.0000790754945043739</v>
      </c>
      <c r="M22" s="64" t="s"/>
      <c r="N22" s="47" t="s"/>
      <c r="O22" s="63" t="s"/>
      <c r="P22" s="61" t="s"/>
      <c r="Q22" s="40" t="e">
        <f>=O22-P15</f>
        <v>#DIV/0!</v>
      </c>
      <c r="R22" s="41" t="e">
        <f>=Q22/P15</f>
        <v>#DIV/0!</v>
      </c>
      <c r="S22" s="53" t="s"/>
      <c r="T22" s="50" t="s"/>
      <c r="U22" s="48" t="s"/>
      <c r="V22" s="4" t="s"/>
    </row>
    <row r="23" spans="1:22">
      <c r="A23" s="4" t="s"/>
      <c r="B23" s="28">
        <v>10.85</v>
      </c>
      <c r="C23" s="4">
        <v>1000</v>
      </c>
      <c r="D23" s="4">
        <v>99</v>
      </c>
      <c r="E23" s="29">
        <v>15</v>
      </c>
      <c r="F23" s="46">
        <v>250</v>
      </c>
      <c r="G23" s="46">
        <v>2.6</v>
      </c>
      <c r="H23" s="46">
        <v>0.45</v>
      </c>
      <c r="I23" s="99">
        <v>298.5</v>
      </c>
      <c r="J23" s="33" t="s"/>
      <c r="K23" s="57">
        <f>=I23-J5</f>
        <v>3.42333333333335</v>
      </c>
      <c r="L23" s="58">
        <f>=K23/J5</f>
        <v>0.0116015046936955</v>
      </c>
      <c r="M23" s="64" t="s"/>
      <c r="N23" s="47" t="s"/>
      <c r="O23" s="63" t="s"/>
      <c r="P23" s="61" t="s"/>
      <c r="Q23" s="40" t="e">
        <f>=O23-P15</f>
        <v>#DIV/0!</v>
      </c>
      <c r="R23" s="41" t="e">
        <f>=Q23/P15</f>
        <v>#DIV/0!</v>
      </c>
      <c r="S23" s="53" t="s"/>
      <c r="T23" s="50" t="s"/>
      <c r="U23" s="48" t="s"/>
      <c r="V23" s="4" t="s"/>
    </row>
    <row r="24" spans="1:22">
      <c r="A24" s="4" t="s"/>
      <c r="B24" s="28">
        <v>10.85</v>
      </c>
      <c r="C24" s="4">
        <v>1000</v>
      </c>
      <c r="D24" s="4">
        <v>99</v>
      </c>
      <c r="E24" s="29">
        <v>15</v>
      </c>
      <c r="F24" s="46">
        <v>250</v>
      </c>
      <c r="G24" s="46">
        <v>2.6</v>
      </c>
      <c r="H24" s="46">
        <v>0.45</v>
      </c>
      <c r="I24" s="99">
        <v>294.5</v>
      </c>
      <c r="J24" s="33" t="s"/>
      <c r="K24" s="57">
        <f>=I24-J5</f>
        <v>-0.576666666666654</v>
      </c>
      <c r="L24" s="58">
        <f>=K24/J5</f>
        <v>-0.0019542943641765</v>
      </c>
      <c r="M24" s="64" t="s"/>
      <c r="N24" s="47" t="s"/>
      <c r="O24" s="65" t="s"/>
      <c r="P24" s="66" t="s"/>
      <c r="Q24" s="40" t="e">
        <f>=O24-P15</f>
        <v>#DIV/0!</v>
      </c>
      <c r="R24" s="41" t="e">
        <f>=Q24/P15</f>
        <v>#DIV/0!</v>
      </c>
      <c r="S24" s="55" t="s"/>
      <c r="T24" s="56" t="s"/>
      <c r="U24" s="48" t="s"/>
      <c r="V24" s="4" t="s"/>
    </row>
    <row r="25" spans="1:22">
      <c r="A25" s="4" t="s"/>
      <c r="B25" s="28">
        <v>10.85</v>
      </c>
      <c r="C25" s="4">
        <v>1000</v>
      </c>
      <c r="D25" s="4">
        <v>99</v>
      </c>
      <c r="E25" s="29">
        <v>15</v>
      </c>
      <c r="F25" s="46">
        <v>250</v>
      </c>
      <c r="G25" s="46">
        <v>2.6</v>
      </c>
      <c r="H25" s="46">
        <v>0.45</v>
      </c>
      <c r="I25" s="99">
        <v>301.9</v>
      </c>
      <c r="J25" s="33" t="s"/>
      <c r="K25" s="67">
        <f>=I25-J5</f>
        <v>6.82333333333332</v>
      </c>
      <c r="L25" s="41">
        <f>=K25/J5</f>
        <v>0.0231239338928866</v>
      </c>
      <c r="M25" s="64" t="s"/>
      <c r="N25" s="47" t="s"/>
      <c r="O25" s="68" t="s"/>
      <c r="P25" s="69" t="e">
        <f>=AVERAGE(O25:O34)</f>
        <v>#DIV/0!</v>
      </c>
      <c r="Q25" s="40" t="e">
        <f>=O25-P25</f>
        <v>#DIV/0!</v>
      </c>
      <c r="R25" s="41" t="e">
        <f>=Q25/P25</f>
        <v>#DIV/0!</v>
      </c>
      <c r="S25" s="42" t="s"/>
      <c r="T25" s="43" t="e">
        <f>=AVERAGE(S25:S29)</f>
        <v>#DIV/0!</v>
      </c>
      <c r="U25" s="48" t="s"/>
      <c r="V25" s="4" t="s"/>
    </row>
    <row r="26" spans="1:22">
      <c r="A26" s="4" t="s"/>
      <c r="B26" s="28">
        <v>10.85</v>
      </c>
      <c r="C26" s="4">
        <v>1000</v>
      </c>
      <c r="D26" s="4">
        <v>99</v>
      </c>
      <c r="E26" s="29">
        <v>15</v>
      </c>
      <c r="F26" s="46">
        <v>250</v>
      </c>
      <c r="G26" s="46">
        <v>2.6</v>
      </c>
      <c r="H26" s="46">
        <v>0.45</v>
      </c>
      <c r="I26" s="99">
        <v>285.3</v>
      </c>
      <c r="J26" s="33" t="s"/>
      <c r="K26" s="67">
        <f>=I26-J5</f>
        <v>-9.77666666666664</v>
      </c>
      <c r="L26" s="41">
        <f>=K26/J5</f>
        <v>-0.033132632197282</v>
      </c>
      <c r="M26" s="64" t="s"/>
      <c r="N26" s="47" t="s"/>
      <c r="O26" s="68" t="s"/>
      <c r="P26" s="64" t="s"/>
      <c r="Q26" s="40" t="e">
        <f>=O26-P25</f>
        <v>#DIV/0!</v>
      </c>
      <c r="R26" s="41" t="e">
        <f>=Q26/P25</f>
        <v>#DIV/0!</v>
      </c>
      <c r="S26" s="42" t="s"/>
      <c r="T26" s="50" t="s"/>
      <c r="U26" s="48" t="s"/>
      <c r="V26" s="4" t="s"/>
    </row>
    <row r="27" spans="1:22">
      <c r="A27" s="4" t="s"/>
      <c r="B27" s="28">
        <v>10.85</v>
      </c>
      <c r="C27" s="4">
        <v>1000</v>
      </c>
      <c r="D27" s="4">
        <v>99</v>
      </c>
      <c r="E27" s="29">
        <v>15</v>
      </c>
      <c r="F27" s="46">
        <v>250</v>
      </c>
      <c r="G27" s="46">
        <v>2.6</v>
      </c>
      <c r="H27" s="46">
        <v>0.45</v>
      </c>
      <c r="I27" s="99">
        <v>299.1</v>
      </c>
      <c r="J27" s="33" t="s"/>
      <c r="K27" s="67">
        <f>=I27-J5</f>
        <v>4.02333333333337</v>
      </c>
      <c r="L27" s="41">
        <f>=K27/J5</f>
        <v>0.0136348745523763</v>
      </c>
      <c r="M27" s="64" t="s"/>
      <c r="N27" s="47" t="s"/>
      <c r="O27" s="68" t="s"/>
      <c r="P27" s="64" t="s"/>
      <c r="Q27" s="40" t="e">
        <f>=O27-P25</f>
        <v>#DIV/0!</v>
      </c>
      <c r="R27" s="41" t="e">
        <f>=Q27/P25</f>
        <v>#DIV/0!</v>
      </c>
      <c r="S27" s="42" t="s"/>
      <c r="T27" s="50" t="s"/>
      <c r="U27" s="48" t="s"/>
      <c r="V27" s="4" t="s"/>
    </row>
    <row r="28" spans="1:22">
      <c r="A28" s="4" t="s"/>
      <c r="B28" s="28">
        <v>10.85</v>
      </c>
      <c r="C28" s="4">
        <v>1000</v>
      </c>
      <c r="D28" s="4">
        <v>99</v>
      </c>
      <c r="E28" s="29">
        <v>15</v>
      </c>
      <c r="F28" s="46">
        <v>250</v>
      </c>
      <c r="G28" s="46">
        <v>2.6</v>
      </c>
      <c r="H28" s="46">
        <v>0.45</v>
      </c>
      <c r="I28" s="99">
        <v>295.5</v>
      </c>
      <c r="J28" s="33" t="s"/>
      <c r="K28" s="67">
        <f>=I28-J5</f>
        <v>0.423333333333346</v>
      </c>
      <c r="L28" s="41">
        <f>=K28/J5</f>
        <v>0.00143465540029149</v>
      </c>
      <c r="M28" s="64" t="s"/>
      <c r="N28" s="47" t="s"/>
      <c r="O28" s="68" t="s"/>
      <c r="P28" s="64" t="s"/>
      <c r="Q28" s="40" t="e">
        <f>=O28-P25</f>
        <v>#DIV/0!</v>
      </c>
      <c r="R28" s="41" t="e">
        <f>=Q28/P25</f>
        <v>#DIV/0!</v>
      </c>
      <c r="S28" s="42" t="s"/>
      <c r="T28" s="50" t="s"/>
      <c r="U28" s="48" t="s"/>
      <c r="V28" s="4" t="s"/>
    </row>
    <row r="29" spans="1:22">
      <c r="A29" s="4" t="s"/>
      <c r="B29" s="28">
        <v>10.85</v>
      </c>
      <c r="C29" s="4">
        <v>1000</v>
      </c>
      <c r="D29" s="4">
        <v>99</v>
      </c>
      <c r="E29" s="29">
        <v>15</v>
      </c>
      <c r="F29" s="46">
        <v>250</v>
      </c>
      <c r="G29" s="46">
        <v>2.6</v>
      </c>
      <c r="H29" s="46">
        <v>0.45</v>
      </c>
      <c r="I29" s="99">
        <v>299.5</v>
      </c>
      <c r="J29" s="33" t="s"/>
      <c r="K29" s="67">
        <f>=I29-J5</f>
        <v>4.42333333333335</v>
      </c>
      <c r="L29" s="41">
        <f>=K29/J5</f>
        <v>0.0149904544581635</v>
      </c>
      <c r="M29" s="64" t="s"/>
      <c r="N29" s="47" t="s"/>
      <c r="P29" s="64" t="s"/>
      <c r="Q29" s="40" t="e">
        <f>=O30-P25</f>
        <v>#DIV/0!</v>
      </c>
      <c r="R29" s="41" t="e">
        <f>=Q29/P25</f>
        <v>#DIV/0!</v>
      </c>
      <c r="S29" s="42" t="s"/>
      <c r="T29" s="50" t="s"/>
      <c r="U29" s="48" t="s"/>
      <c r="V29" s="4" t="s"/>
    </row>
    <row r="30" spans="1:22">
      <c r="A30" s="4" t="s"/>
      <c r="B30" s="28">
        <v>10.85</v>
      </c>
      <c r="C30" s="4">
        <v>1000</v>
      </c>
      <c r="D30" s="4">
        <v>99</v>
      </c>
      <c r="E30" s="29">
        <v>15</v>
      </c>
      <c r="F30" s="46">
        <v>250</v>
      </c>
      <c r="G30" s="46">
        <v>2.6</v>
      </c>
      <c r="H30" s="46">
        <v>0.45</v>
      </c>
      <c r="I30" s="99">
        <v>294.7</v>
      </c>
      <c r="J30" s="33" t="s"/>
      <c r="K30" s="67">
        <f>=I30-J5</f>
        <v>-0.376666666666665</v>
      </c>
      <c r="L30" s="41">
        <f>=K30/J5</f>
        <v>-0.00127650441128294</v>
      </c>
      <c r="M30" s="64" t="s"/>
      <c r="N30" s="47" t="s"/>
      <c r="O30" s="68" t="s"/>
      <c r="P30" s="64" t="s"/>
      <c r="Q30" s="40" t="e">
        <f>=O30-P25</f>
        <v>#DIV/0!</v>
      </c>
      <c r="R30" s="41" t="e">
        <f>=Q30/P25</f>
        <v>#DIV/0!</v>
      </c>
      <c r="S30" s="52" t="s">
        <v>32</v>
      </c>
      <c r="T30" s="50" t="s"/>
      <c r="U30" s="48" t="s"/>
      <c r="V30" s="4" t="s"/>
    </row>
    <row r="31" spans="1:22">
      <c r="A31" s="4" t="s"/>
      <c r="B31" s="28">
        <v>10.85</v>
      </c>
      <c r="C31" s="4">
        <v>1000</v>
      </c>
      <c r="D31" s="4">
        <v>99</v>
      </c>
      <c r="E31" s="29">
        <v>15</v>
      </c>
      <c r="F31" s="46">
        <v>250</v>
      </c>
      <c r="G31" s="46">
        <v>2.6</v>
      </c>
      <c r="H31" s="46">
        <v>0.45</v>
      </c>
      <c r="I31" s="99">
        <v>293.2</v>
      </c>
      <c r="J31" s="33" t="s"/>
      <c r="K31" s="67">
        <f>=I31-J5</f>
        <v>-1.87666666666667</v>
      </c>
      <c r="L31" s="41">
        <f>=K31/J5</f>
        <v>-0.00635992905798493</v>
      </c>
      <c r="M31" s="64" t="s"/>
      <c r="N31" s="47" t="s"/>
      <c r="O31" s="68" t="s"/>
      <c r="P31" s="64" t="s"/>
      <c r="Q31" s="40" t="e">
        <f>=O31-P25</f>
        <v>#DIV/0!</v>
      </c>
      <c r="R31" s="41" t="e">
        <f>=Q31/P25</f>
        <v>#DIV/0!</v>
      </c>
      <c r="S31" s="53" t="s"/>
      <c r="T31" s="50" t="s"/>
      <c r="U31" s="48" t="s"/>
      <c r="V31" s="4" t="s"/>
    </row>
    <row r="32" spans="1:22">
      <c r="A32" s="4" t="s"/>
      <c r="B32" s="28">
        <v>10.85</v>
      </c>
      <c r="C32" s="4">
        <v>1000</v>
      </c>
      <c r="D32" s="4">
        <v>99</v>
      </c>
      <c r="E32" s="29">
        <v>15</v>
      </c>
      <c r="F32" s="46">
        <v>250</v>
      </c>
      <c r="G32" s="46">
        <v>2.6</v>
      </c>
      <c r="H32" s="46">
        <v>0.45</v>
      </c>
      <c r="I32" s="99">
        <v>301.6</v>
      </c>
      <c r="J32" s="33" t="s"/>
      <c r="K32" s="67">
        <f>=I32-J5</f>
        <v>6.52333333333337</v>
      </c>
      <c r="L32" s="41">
        <f>=K32/J5</f>
        <v>0.0221072489635463</v>
      </c>
      <c r="M32" s="64" t="s"/>
      <c r="N32" s="47" t="s"/>
      <c r="O32" s="68" t="s"/>
      <c r="P32" s="64" t="s"/>
      <c r="Q32" s="40" t="e">
        <f>=O32-P25</f>
        <v>#DIV/0!</v>
      </c>
      <c r="R32" s="41" t="e">
        <f>=Q32/P25</f>
        <v>#DIV/0!</v>
      </c>
      <c r="S32" s="53" t="s"/>
      <c r="T32" s="50" t="s"/>
      <c r="U32" s="48" t="s"/>
      <c r="V32" s="4" t="s"/>
    </row>
    <row r="33" spans="1:22">
      <c r="A33" s="4" t="s"/>
      <c r="B33" s="28">
        <v>10.85</v>
      </c>
      <c r="C33" s="4">
        <v>1000</v>
      </c>
      <c r="D33" s="4">
        <v>99</v>
      </c>
      <c r="E33" s="29">
        <v>15</v>
      </c>
      <c r="F33" s="46">
        <v>250</v>
      </c>
      <c r="G33" s="46">
        <v>2.6</v>
      </c>
      <c r="H33" s="46">
        <v>0.45</v>
      </c>
      <c r="I33" s="99">
        <v>297.4</v>
      </c>
      <c r="J33" s="33" t="s"/>
      <c r="K33" s="67">
        <f>=I33-J5</f>
        <v>2.32333333333332</v>
      </c>
      <c r="L33" s="41">
        <f>=K33/J5</f>
        <v>0.0078736599527806</v>
      </c>
      <c r="M33" s="64" t="s"/>
      <c r="N33" s="47" t="s"/>
      <c r="O33" s="68" t="s"/>
      <c r="P33" s="64" t="s"/>
      <c r="Q33" s="40" t="e">
        <f>=O33-P25</f>
        <v>#DIV/0!</v>
      </c>
      <c r="R33" s="41" t="e">
        <f>=Q33/P25</f>
        <v>#DIV/0!</v>
      </c>
      <c r="S33" s="53" t="s"/>
      <c r="T33" s="50" t="s"/>
      <c r="U33" s="48" t="s"/>
      <c r="V33" s="4" t="s"/>
    </row>
    <row r="34" spans="1:22">
      <c r="A34" s="4" t="s"/>
      <c r="B34" s="28">
        <v>10.85</v>
      </c>
      <c r="C34" s="4">
        <v>1000</v>
      </c>
      <c r="D34" s="4">
        <v>99</v>
      </c>
      <c r="E34" s="29">
        <v>15</v>
      </c>
      <c r="F34" s="46">
        <v>250</v>
      </c>
      <c r="G34" s="46">
        <v>2.6</v>
      </c>
      <c r="H34" s="46">
        <v>0.45</v>
      </c>
      <c r="I34" s="99">
        <v>296.1</v>
      </c>
      <c r="J34" s="33" t="s"/>
      <c r="K34" s="67">
        <f>=I34-J5</f>
        <v>1.02333333333337</v>
      </c>
      <c r="L34" s="41">
        <f>=K34/J5</f>
        <v>0.00346802525897237</v>
      </c>
      <c r="M34" s="70" t="s"/>
      <c r="N34" s="71" t="s"/>
      <c r="O34" s="68" t="s"/>
      <c r="P34" s="70" t="s"/>
      <c r="Q34" s="40" t="e">
        <f>=O34-P25</f>
        <v>#DIV/0!</v>
      </c>
      <c r="R34" s="41" t="e">
        <f>=Q34/P25</f>
        <v>#DIV/0!</v>
      </c>
      <c r="S34" s="55" t="s"/>
      <c r="T34" s="56" t="s"/>
      <c r="U34" s="19" t="s"/>
      <c r="V34" s="4" t="s"/>
    </row>
    <row r="35" spans="9:9">
      <c r="I35" s="72" t="s"/>
    </row>
    <row r="36" spans="1:23">
      <c r="A36" s="27" t="s"/>
      <c r="B36" s="28">
        <v>10.85</v>
      </c>
      <c r="C36" s="4">
        <v>1000</v>
      </c>
      <c r="D36" s="4">
        <v>99</v>
      </c>
      <c r="E36" s="29">
        <v>20</v>
      </c>
      <c r="F36" s="30">
        <v>250</v>
      </c>
      <c r="G36" s="30">
        <v>2.6</v>
      </c>
      <c r="H36" s="30">
        <v>0.5</v>
      </c>
      <c r="I36" s="99">
        <v>313.9</v>
      </c>
      <c r="J36" s="33">
        <f>=AVERAGE(I36:I65)</f>
        <v>313.496666666667</v>
      </c>
      <c r="K36" s="34">
        <f>=I36-J36</f>
        <v>0.403333333333308</v>
      </c>
      <c r="L36" s="35">
        <f>=K36/J36</f>
        <v>0.00128656338717044</v>
      </c>
      <c r="M36" s="74" t="s"/>
      <c r="N36" s="37" t="e">
        <f>=AVERAGE(M36:M50)</f>
        <v>#DIV/0!</v>
      </c>
      <c r="O36" s="75" t="s"/>
      <c r="P36" s="39" t="e">
        <f>=AVERAGE(O36:O45)</f>
        <v>#DIV/0!</v>
      </c>
      <c r="Q36" s="40" t="e">
        <f>=O36-P36</f>
        <v>#DIV/0!</v>
      </c>
      <c r="R36" s="41" t="e">
        <f>=Q36/P36</f>
        <v>#DIV/0!</v>
      </c>
      <c r="S36" s="76" t="s"/>
      <c r="T36" s="43" t="e">
        <f>=AVERAGE(S36:S40)</f>
        <v>#DIV/0!</v>
      </c>
      <c r="U36" s="44" t="e">
        <f>=((T36+T46+T56)/3)/N36</f>
        <v>#DIV/0!</v>
      </c>
      <c r="V36" s="45" t="s"/>
      <c r="W36" s="92" t="s">
        <v>40</v>
      </c>
    </row>
    <row r="37" spans="1:22">
      <c r="A37" s="27" t="s"/>
      <c r="B37" s="77">
        <v>10.85</v>
      </c>
      <c r="C37" s="4">
        <v>1000</v>
      </c>
      <c r="D37" s="4">
        <v>99</v>
      </c>
      <c r="E37" s="29">
        <v>20</v>
      </c>
      <c r="F37" s="46">
        <v>250</v>
      </c>
      <c r="G37" s="46">
        <v>2.6</v>
      </c>
      <c r="H37" s="46">
        <v>0.5</v>
      </c>
      <c r="I37" s="99">
        <v>313.2</v>
      </c>
      <c r="J37" s="33" t="s"/>
      <c r="K37" s="34">
        <f>=I37-J36</f>
        <v>-0.296666666666681</v>
      </c>
      <c r="L37" s="35">
        <f>=K37/J36</f>
        <v>-0.000946315218662658</v>
      </c>
      <c r="M37" s="74" t="s"/>
      <c r="N37" s="47" t="s"/>
      <c r="O37" s="75" t="s"/>
      <c r="P37" s="48" t="s"/>
      <c r="Q37" s="40" t="e">
        <f>=O37-P36</f>
        <v>#DIV/0!</v>
      </c>
      <c r="R37" s="41" t="e">
        <f>=Q37/P36</f>
        <v>#DIV/0!</v>
      </c>
      <c r="S37" s="76" t="s"/>
      <c r="T37" s="50" t="s"/>
      <c r="U37" s="48" t="s"/>
      <c r="V37" s="4" t="s"/>
    </row>
    <row r="38" spans="1:22">
      <c r="A38" s="27" t="s"/>
      <c r="B38" s="77">
        <v>10.85</v>
      </c>
      <c r="C38" s="4">
        <v>1000</v>
      </c>
      <c r="D38" s="4">
        <v>99</v>
      </c>
      <c r="E38" s="29">
        <v>20</v>
      </c>
      <c r="F38" s="46">
        <v>250</v>
      </c>
      <c r="G38" s="46">
        <v>2.6</v>
      </c>
      <c r="H38" s="46">
        <v>0.5</v>
      </c>
      <c r="I38" s="99">
        <v>315.7</v>
      </c>
      <c r="J38" s="33" t="s"/>
      <c r="K38" s="34">
        <f>=I38-J36</f>
        <v>2.20333333333332</v>
      </c>
      <c r="L38" s="35">
        <f>=K38/J36</f>
        <v>0.00702825123074138</v>
      </c>
      <c r="M38" s="74" t="s"/>
      <c r="N38" s="47" t="s"/>
      <c r="O38" s="75" t="s"/>
      <c r="P38" s="48" t="s"/>
      <c r="Q38" s="40" t="e">
        <f>=O38-P36</f>
        <v>#DIV/0!</v>
      </c>
      <c r="R38" s="41" t="e">
        <f>=Q38/P36</f>
        <v>#DIV/0!</v>
      </c>
      <c r="S38" s="76" t="s"/>
      <c r="T38" s="50" t="s"/>
      <c r="U38" s="48" t="s"/>
      <c r="V38" s="4" t="s"/>
    </row>
    <row r="39" spans="1:22">
      <c r="A39" s="27" t="s"/>
      <c r="B39" s="77">
        <v>10.85</v>
      </c>
      <c r="C39" s="4">
        <v>1000</v>
      </c>
      <c r="D39" s="4">
        <v>99</v>
      </c>
      <c r="E39" s="29">
        <v>20</v>
      </c>
      <c r="F39" s="46">
        <v>250</v>
      </c>
      <c r="G39" s="46">
        <v>2.6</v>
      </c>
      <c r="H39" s="46">
        <v>0.5</v>
      </c>
      <c r="I39" s="99">
        <v>320.3</v>
      </c>
      <c r="J39" s="33" t="s"/>
      <c r="K39" s="34">
        <f>=I39-J36</f>
        <v>6.80333333333334</v>
      </c>
      <c r="L39" s="35">
        <f>=K39/J36</f>
        <v>0.0217014534976449</v>
      </c>
      <c r="M39" s="74" t="s"/>
      <c r="N39" s="47" t="s"/>
      <c r="O39" s="75" t="s"/>
      <c r="P39" s="48" t="s"/>
      <c r="Q39" s="40" t="e">
        <f>=O39-P36</f>
        <v>#DIV/0!</v>
      </c>
      <c r="R39" s="41" t="e">
        <f>=Q39/P36</f>
        <v>#DIV/0!</v>
      </c>
      <c r="S39" s="76" t="s"/>
      <c r="T39" s="50" t="s"/>
      <c r="U39" s="48" t="s"/>
      <c r="V39" s="4" t="s"/>
    </row>
    <row r="40" spans="1:22">
      <c r="A40" s="27" t="s"/>
      <c r="B40" s="77">
        <v>10.85</v>
      </c>
      <c r="C40" s="4">
        <v>1000</v>
      </c>
      <c r="D40" s="4">
        <v>99</v>
      </c>
      <c r="E40" s="29">
        <v>20</v>
      </c>
      <c r="F40" s="46">
        <v>250</v>
      </c>
      <c r="G40" s="46">
        <v>2.6</v>
      </c>
      <c r="H40" s="46">
        <v>0.5</v>
      </c>
      <c r="I40" s="99">
        <v>319.1</v>
      </c>
      <c r="J40" s="33" t="s"/>
      <c r="K40" s="34">
        <f>=I40-J36</f>
        <v>5.60333333333335</v>
      </c>
      <c r="L40" s="35">
        <f>=K40/J36</f>
        <v>0.017873661601931</v>
      </c>
      <c r="M40" s="74" t="s"/>
      <c r="N40" s="47" t="s"/>
      <c r="O40" s="75" t="s"/>
      <c r="P40" s="48" t="s"/>
      <c r="Q40" s="40" t="e">
        <f>=O40-P36</f>
        <v>#DIV/0!</v>
      </c>
      <c r="R40" s="41" t="e">
        <f>=Q40/P36</f>
        <v>#DIV/0!</v>
      </c>
      <c r="S40" s="76" t="s"/>
      <c r="T40" s="50" t="s"/>
      <c r="U40" s="48" t="s"/>
      <c r="V40" s="4" t="s"/>
    </row>
    <row r="41" spans="1:22">
      <c r="A41" s="27" t="s"/>
      <c r="B41" s="77">
        <v>10.85</v>
      </c>
      <c r="C41" s="4">
        <v>1000</v>
      </c>
      <c r="D41" s="4">
        <v>99</v>
      </c>
      <c r="E41" s="29">
        <v>20</v>
      </c>
      <c r="F41" s="46">
        <v>250</v>
      </c>
      <c r="G41" s="46">
        <v>2.6</v>
      </c>
      <c r="H41" s="46">
        <v>0.5</v>
      </c>
      <c r="I41" s="99">
        <v>299.7</v>
      </c>
      <c r="J41" s="33" t="s"/>
      <c r="K41" s="34">
        <f>=I41-J36</f>
        <v>-13.7966666666667</v>
      </c>
      <c r="L41" s="35">
        <f>=K41/J36</f>
        <v>-0.0440089740454444</v>
      </c>
      <c r="M41" s="74" t="s"/>
      <c r="N41" s="47" t="s"/>
      <c r="O41" s="75" t="s"/>
      <c r="P41" s="48" t="s"/>
      <c r="Q41" s="40" t="e">
        <f>=O41-P36</f>
        <v>#DIV/0!</v>
      </c>
      <c r="R41" s="41" t="e">
        <f>=Q41/P36</f>
        <v>#DIV/0!</v>
      </c>
      <c r="S41" s="52" t="s">
        <v>32</v>
      </c>
      <c r="T41" s="50" t="s"/>
      <c r="U41" s="48" t="s"/>
      <c r="V41" s="4" t="s"/>
    </row>
    <row r="42" spans="1:22">
      <c r="A42" s="27" t="s"/>
      <c r="B42" s="77">
        <v>10.85</v>
      </c>
      <c r="C42" s="4">
        <v>1000</v>
      </c>
      <c r="D42" s="4">
        <v>99</v>
      </c>
      <c r="E42" s="29">
        <v>20</v>
      </c>
      <c r="F42" s="46">
        <v>250</v>
      </c>
      <c r="G42" s="46">
        <v>2.6</v>
      </c>
      <c r="H42" s="46">
        <v>0.5</v>
      </c>
      <c r="I42" s="99">
        <v>319.3</v>
      </c>
      <c r="J42" s="33" t="s"/>
      <c r="K42" s="34">
        <f>=I42-J36</f>
        <v>5.80333333333334</v>
      </c>
      <c r="L42" s="35">
        <f>=K42/J36</f>
        <v>0.0185116269178833</v>
      </c>
      <c r="M42" s="74" t="s"/>
      <c r="N42" s="47" t="s"/>
      <c r="O42" s="75" t="s"/>
      <c r="P42" s="48" t="s"/>
      <c r="Q42" s="40" t="e">
        <f>=O42-P36</f>
        <v>#DIV/0!</v>
      </c>
      <c r="R42" s="41" t="e">
        <f>=Q42/P36</f>
        <v>#DIV/0!</v>
      </c>
      <c r="S42" s="53" t="s"/>
      <c r="T42" s="50" t="s"/>
      <c r="U42" s="48" t="s"/>
      <c r="V42" s="4" t="s"/>
    </row>
    <row r="43" spans="1:22">
      <c r="A43" s="4" t="s"/>
      <c r="B43" s="77">
        <v>10.85</v>
      </c>
      <c r="C43" s="4">
        <v>1000</v>
      </c>
      <c r="D43" s="4">
        <v>99</v>
      </c>
      <c r="E43" s="29">
        <v>20</v>
      </c>
      <c r="F43" s="46">
        <v>250</v>
      </c>
      <c r="G43" s="46">
        <v>2.6</v>
      </c>
      <c r="H43" s="46">
        <v>0.5</v>
      </c>
      <c r="I43" s="99">
        <v>315.5</v>
      </c>
      <c r="J43" s="33" t="s"/>
      <c r="K43" s="34">
        <f>=I43-J36</f>
        <v>2.00333333333333</v>
      </c>
      <c r="L43" s="35">
        <f>=K43/J36</f>
        <v>0.00639028591478909</v>
      </c>
      <c r="M43" s="74" t="s"/>
      <c r="N43" s="47" t="s"/>
      <c r="O43" s="75" t="s"/>
      <c r="P43" s="48" t="s"/>
      <c r="Q43" s="40" t="e">
        <f>=O43-P36</f>
        <v>#DIV/0!</v>
      </c>
      <c r="R43" s="41" t="e">
        <f>=Q43/P36</f>
        <v>#DIV/0!</v>
      </c>
      <c r="S43" s="53" t="s"/>
      <c r="T43" s="50" t="s"/>
      <c r="U43" s="48" t="s"/>
      <c r="V43" s="4" t="s"/>
    </row>
    <row r="44" spans="1:22">
      <c r="A44" s="4" t="s"/>
      <c r="B44" s="77">
        <v>10.85</v>
      </c>
      <c r="C44" s="4">
        <v>1000</v>
      </c>
      <c r="D44" s="4">
        <v>99</v>
      </c>
      <c r="E44" s="29">
        <v>20</v>
      </c>
      <c r="F44" s="46">
        <v>250</v>
      </c>
      <c r="G44" s="46">
        <v>2.6</v>
      </c>
      <c r="H44" s="46">
        <v>0.5</v>
      </c>
      <c r="I44" s="99">
        <v>322.7</v>
      </c>
      <c r="J44" s="33" t="s"/>
      <c r="K44" s="34">
        <f>=I44-J36</f>
        <v>9.20333333333332</v>
      </c>
      <c r="L44" s="35">
        <f>=K44/J36</f>
        <v>0.0293570372890727</v>
      </c>
      <c r="M44" s="74" t="s"/>
      <c r="N44" s="47" t="s"/>
      <c r="O44" s="75" t="s"/>
      <c r="P44" s="48" t="s"/>
      <c r="Q44" s="40" t="e">
        <f>=O44-P36</f>
        <v>#DIV/0!</v>
      </c>
      <c r="R44" s="41" t="e">
        <f>=Q44/P36</f>
        <v>#DIV/0!</v>
      </c>
      <c r="S44" s="53" t="s"/>
      <c r="T44" s="50" t="s"/>
      <c r="U44" s="48" t="s"/>
      <c r="V44" s="4" t="s"/>
    </row>
    <row r="45" spans="1:22">
      <c r="A45" s="4" t="s"/>
      <c r="B45" s="77">
        <v>10.85</v>
      </c>
      <c r="C45" s="4">
        <v>1000</v>
      </c>
      <c r="D45" s="4">
        <v>99</v>
      </c>
      <c r="E45" s="29">
        <v>20</v>
      </c>
      <c r="F45" s="46">
        <v>250</v>
      </c>
      <c r="G45" s="46">
        <v>2.6</v>
      </c>
      <c r="H45" s="46">
        <v>0.5</v>
      </c>
      <c r="I45" s="99">
        <v>310</v>
      </c>
      <c r="J45" s="33" t="s"/>
      <c r="K45" s="34">
        <f>=I45-J36</f>
        <v>-3.49666666666667</v>
      </c>
      <c r="L45" s="35">
        <f>=K45/J36</f>
        <v>-0.0111537602738998</v>
      </c>
      <c r="M45" s="74" t="s"/>
      <c r="N45" s="47" t="s"/>
      <c r="O45" s="78" t="s"/>
      <c r="P45" s="19" t="s"/>
      <c r="Q45" s="40" t="e">
        <f>=O45-P36</f>
        <v>#DIV/0!</v>
      </c>
      <c r="R45" s="41" t="e">
        <f>=Q45/P36</f>
        <v>#DIV/0!</v>
      </c>
      <c r="S45" s="55" t="s"/>
      <c r="T45" s="56" t="s"/>
      <c r="U45" s="48" t="s"/>
      <c r="V45" s="4" t="s"/>
    </row>
    <row r="46" spans="1:22">
      <c r="A46" s="4" t="s"/>
      <c r="B46" s="77">
        <v>10.85</v>
      </c>
      <c r="C46" s="4">
        <v>1000</v>
      </c>
      <c r="D46" s="4">
        <v>99</v>
      </c>
      <c r="E46" s="29">
        <v>20</v>
      </c>
      <c r="F46" s="46">
        <v>250</v>
      </c>
      <c r="G46" s="46">
        <v>2.6</v>
      </c>
      <c r="H46" s="46">
        <v>0.5</v>
      </c>
      <c r="I46" s="99">
        <v>304.4</v>
      </c>
      <c r="J46" s="33" t="s"/>
      <c r="K46" s="57">
        <f>=I46-J36</f>
        <v>-9.09666666666669</v>
      </c>
      <c r="L46" s="58">
        <f>=K46/J36</f>
        <v>-0.0290167891205649</v>
      </c>
      <c r="M46" s="74" t="s"/>
      <c r="N46" s="47" t="s"/>
      <c r="O46" s="79" t="s"/>
      <c r="P46" s="60" t="e">
        <f>=AVERAGE(O46:O55)</f>
        <v>#DIV/0!</v>
      </c>
      <c r="Q46" s="40" t="e">
        <f>=O46-P46</f>
        <v>#DIV/0!</v>
      </c>
      <c r="R46" s="41" t="e">
        <f>=Q46/P46</f>
        <v>#DIV/0!</v>
      </c>
      <c r="S46" s="76" t="s"/>
      <c r="T46" s="43" t="e">
        <f>=AVERAGE(S46:S50)</f>
        <v>#DIV/0!</v>
      </c>
      <c r="U46" s="48" t="s"/>
      <c r="V46" s="4" t="s"/>
    </row>
    <row r="47" spans="1:22">
      <c r="A47" s="4" t="s"/>
      <c r="B47" s="77">
        <v>10.85</v>
      </c>
      <c r="C47" s="4">
        <v>1000</v>
      </c>
      <c r="D47" s="4">
        <v>99</v>
      </c>
      <c r="E47" s="29">
        <v>20</v>
      </c>
      <c r="F47" s="46">
        <v>250</v>
      </c>
      <c r="G47" s="46">
        <v>2.6</v>
      </c>
      <c r="H47" s="46">
        <v>0.5</v>
      </c>
      <c r="I47" s="99">
        <v>300.7</v>
      </c>
      <c r="J47" s="33" t="s"/>
      <c r="K47" s="57">
        <f>=I47-J36</f>
        <v>-12.7966666666667</v>
      </c>
      <c r="L47" s="58">
        <f>=K47/J36</f>
        <v>-0.0408191474656828</v>
      </c>
      <c r="M47" s="74" t="s"/>
      <c r="N47" s="47" t="s"/>
      <c r="O47" s="79" t="s"/>
      <c r="P47" s="61" t="s"/>
      <c r="Q47" s="40" t="e">
        <f>=O47-P46</f>
        <v>#DIV/0!</v>
      </c>
      <c r="R47" s="41" t="e">
        <f>=Q47/P46</f>
        <v>#DIV/0!</v>
      </c>
      <c r="S47" s="76" t="s"/>
      <c r="T47" s="50" t="s"/>
      <c r="U47" s="48" t="s"/>
      <c r="V47" s="4" t="s"/>
    </row>
    <row r="48" spans="1:22">
      <c r="A48" s="4" t="s"/>
      <c r="B48" s="77">
        <v>10.85</v>
      </c>
      <c r="C48" s="4">
        <v>1000</v>
      </c>
      <c r="D48" s="4">
        <v>99</v>
      </c>
      <c r="E48" s="29">
        <v>20</v>
      </c>
      <c r="F48" s="46">
        <v>250</v>
      </c>
      <c r="G48" s="46">
        <v>2.6</v>
      </c>
      <c r="H48" s="46">
        <v>0.5</v>
      </c>
      <c r="I48" s="99">
        <v>302.3</v>
      </c>
      <c r="J48" s="33" t="s"/>
      <c r="K48" s="57">
        <f>=I48-J36</f>
        <v>-11.1966666666667</v>
      </c>
      <c r="L48" s="58">
        <f>=K48/J36</f>
        <v>-0.0357154249380642</v>
      </c>
      <c r="M48" s="74" t="s"/>
      <c r="N48" s="47" t="s"/>
      <c r="O48" s="79" t="s"/>
      <c r="P48" s="61" t="s"/>
      <c r="Q48" s="40" t="e">
        <f>=O48-P46</f>
        <v>#DIV/0!</v>
      </c>
      <c r="R48" s="41" t="e">
        <f>=Q48/P46</f>
        <v>#DIV/0!</v>
      </c>
      <c r="S48" s="76" t="s"/>
      <c r="T48" s="50" t="s"/>
      <c r="U48" s="48" t="s"/>
      <c r="V48" s="4" t="s"/>
    </row>
    <row r="49" spans="1:22">
      <c r="A49" s="4" t="s"/>
      <c r="B49" s="77">
        <v>10.85</v>
      </c>
      <c r="C49" s="4">
        <v>1000</v>
      </c>
      <c r="D49" s="4">
        <v>99</v>
      </c>
      <c r="E49" s="29">
        <v>20</v>
      </c>
      <c r="F49" s="46">
        <v>250</v>
      </c>
      <c r="G49" s="46">
        <v>2.6</v>
      </c>
      <c r="H49" s="46">
        <v>0.5</v>
      </c>
      <c r="I49" s="99">
        <v>317.7</v>
      </c>
      <c r="J49" s="33" t="s"/>
      <c r="K49" s="57">
        <f>=I49-J36</f>
        <v>4.20333333333332</v>
      </c>
      <c r="L49" s="58">
        <f>=K49/J36</f>
        <v>0.0134079043902646</v>
      </c>
      <c r="M49" s="74" t="s"/>
      <c r="N49" s="47" t="s"/>
      <c r="O49" s="79" t="s"/>
      <c r="P49" s="61" t="s"/>
      <c r="Q49" s="40" t="e">
        <f>=O49-P46</f>
        <v>#DIV/0!</v>
      </c>
      <c r="R49" s="41" t="e">
        <f>=Q49/P46</f>
        <v>#DIV/0!</v>
      </c>
      <c r="S49" s="76" t="s"/>
      <c r="T49" s="50" t="s"/>
      <c r="U49" s="48" t="s"/>
      <c r="V49" s="4" t="s"/>
    </row>
    <row r="50" spans="1:22">
      <c r="A50" s="4" t="s"/>
      <c r="B50" s="77">
        <v>10.85</v>
      </c>
      <c r="C50" s="4">
        <v>1000</v>
      </c>
      <c r="D50" s="4">
        <v>99</v>
      </c>
      <c r="E50" s="29">
        <v>20</v>
      </c>
      <c r="F50" s="46">
        <v>250</v>
      </c>
      <c r="G50" s="46">
        <v>2.6</v>
      </c>
      <c r="H50" s="46">
        <v>0.5</v>
      </c>
      <c r="I50" s="99">
        <v>309.3</v>
      </c>
      <c r="J50" s="33" t="s"/>
      <c r="K50" s="57">
        <f>=I50-J36</f>
        <v>-4.19666666666666</v>
      </c>
      <c r="L50" s="58">
        <f>=K50/J36</f>
        <v>-0.0133866388797329</v>
      </c>
      <c r="M50" s="74" t="s"/>
      <c r="N50" s="47" t="s"/>
      <c r="O50" s="79" t="s"/>
      <c r="P50" s="61" t="s"/>
      <c r="Q50" s="40" t="e">
        <f>=O50-P46</f>
        <v>#DIV/0!</v>
      </c>
      <c r="R50" s="41" t="e">
        <f>=Q50/P46</f>
        <v>#DIV/0!</v>
      </c>
      <c r="S50" s="76" t="s"/>
      <c r="T50" s="50" t="s"/>
      <c r="U50" s="48" t="s"/>
      <c r="V50" s="4" t="s"/>
    </row>
    <row r="51" spans="1:22">
      <c r="A51" s="4" t="s"/>
      <c r="B51" s="77">
        <v>10.85</v>
      </c>
      <c r="C51" s="4">
        <v>1000</v>
      </c>
      <c r="D51" s="4">
        <v>99</v>
      </c>
      <c r="E51" s="29">
        <v>20</v>
      </c>
      <c r="F51" s="46">
        <v>250</v>
      </c>
      <c r="G51" s="46">
        <v>2.6</v>
      </c>
      <c r="H51" s="46">
        <v>0.5</v>
      </c>
      <c r="I51" s="99">
        <v>311.6</v>
      </c>
      <c r="J51" s="33" t="s"/>
      <c r="K51" s="57">
        <f>=I51-J36</f>
        <v>-1.89666666666665</v>
      </c>
      <c r="L51" s="58">
        <f>=K51/J36</f>
        <v>-0.00605003774628113</v>
      </c>
      <c r="M51" s="62" t="s">
        <v>32</v>
      </c>
      <c r="N51" s="47" t="s"/>
      <c r="O51" s="63" t="s"/>
      <c r="P51" s="61" t="s"/>
      <c r="Q51" s="40" t="e">
        <f>=O51-P46</f>
        <v>#DIV/0!</v>
      </c>
      <c r="R51" s="41" t="e">
        <f>=Q51/P46</f>
        <v>#DIV/0!</v>
      </c>
      <c r="S51" s="52" t="s">
        <v>32</v>
      </c>
      <c r="T51" s="50" t="s"/>
      <c r="U51" s="48" t="s"/>
      <c r="V51" s="4" t="s"/>
    </row>
    <row r="52" spans="1:22">
      <c r="A52" s="4" t="s"/>
      <c r="B52" s="77">
        <v>10.85</v>
      </c>
      <c r="C52" s="4">
        <v>1000</v>
      </c>
      <c r="D52" s="4">
        <v>99</v>
      </c>
      <c r="E52" s="29">
        <v>20</v>
      </c>
      <c r="F52" s="46">
        <v>250</v>
      </c>
      <c r="G52" s="46">
        <v>2.6</v>
      </c>
      <c r="H52" s="46">
        <v>0.5</v>
      </c>
      <c r="I52" s="99">
        <v>312.9</v>
      </c>
      <c r="J52" s="33" t="s"/>
      <c r="K52" s="57">
        <f>=I52-J36</f>
        <v>-0.596666666666693</v>
      </c>
      <c r="L52" s="58">
        <f>=K52/J36</f>
        <v>-0.00190326319259118</v>
      </c>
      <c r="M52" s="64" t="s"/>
      <c r="N52" s="47" t="s"/>
      <c r="O52" s="63" t="s"/>
      <c r="P52" s="61" t="s"/>
      <c r="Q52" s="40" t="e">
        <f>=O52-P46</f>
        <v>#DIV/0!</v>
      </c>
      <c r="R52" s="41" t="e">
        <f>=Q52/P46</f>
        <v>#DIV/0!</v>
      </c>
      <c r="S52" s="53" t="s"/>
      <c r="T52" s="50" t="s"/>
      <c r="U52" s="48" t="s"/>
      <c r="V52" s="4" t="s"/>
    </row>
    <row r="53" spans="1:22">
      <c r="A53" s="4" t="s"/>
      <c r="B53" s="77">
        <v>10.85</v>
      </c>
      <c r="C53" s="4">
        <v>1000</v>
      </c>
      <c r="D53" s="4">
        <v>99</v>
      </c>
      <c r="E53" s="29">
        <v>20</v>
      </c>
      <c r="F53" s="46">
        <v>250</v>
      </c>
      <c r="G53" s="46">
        <v>2.6</v>
      </c>
      <c r="H53" s="46">
        <v>0.5</v>
      </c>
      <c r="I53" s="99">
        <v>319.2</v>
      </c>
      <c r="J53" s="33" t="s"/>
      <c r="K53" s="57">
        <f>=I53-J36</f>
        <v>5.70333333333332</v>
      </c>
      <c r="L53" s="58">
        <f>=K53/J36</f>
        <v>0.018192644259907</v>
      </c>
      <c r="M53" s="64" t="s"/>
      <c r="N53" s="47" t="s"/>
      <c r="O53" s="63" t="s"/>
      <c r="P53" s="61" t="s"/>
      <c r="Q53" s="40" t="e">
        <f>=O53-P46</f>
        <v>#DIV/0!</v>
      </c>
      <c r="R53" s="41" t="e">
        <f>=Q53/P46</f>
        <v>#DIV/0!</v>
      </c>
      <c r="S53" s="53" t="s"/>
      <c r="T53" s="50" t="s"/>
      <c r="U53" s="48" t="s"/>
      <c r="V53" s="4" t="s"/>
    </row>
    <row r="54" spans="1:22">
      <c r="A54" s="4" t="s"/>
      <c r="B54" s="77">
        <v>10.85</v>
      </c>
      <c r="C54" s="4">
        <v>1000</v>
      </c>
      <c r="D54" s="4">
        <v>99</v>
      </c>
      <c r="E54" s="29">
        <v>20</v>
      </c>
      <c r="F54" s="46">
        <v>250</v>
      </c>
      <c r="G54" s="46">
        <v>2.6</v>
      </c>
      <c r="H54" s="46">
        <v>0.5</v>
      </c>
      <c r="I54" s="99">
        <v>317.8</v>
      </c>
      <c r="J54" s="33" t="s"/>
      <c r="K54" s="57">
        <f>=I54-J36</f>
        <v>4.30333333333334</v>
      </c>
      <c r="L54" s="58">
        <f>=K54/J36</f>
        <v>0.0137268870482408</v>
      </c>
      <c r="M54" s="64" t="s"/>
      <c r="N54" s="47" t="s"/>
      <c r="O54" s="63" t="s"/>
      <c r="P54" s="61" t="s"/>
      <c r="Q54" s="40" t="e">
        <f>=O54-P46</f>
        <v>#DIV/0!</v>
      </c>
      <c r="R54" s="41" t="e">
        <f>=Q54/P46</f>
        <v>#DIV/0!</v>
      </c>
      <c r="S54" s="53" t="s"/>
      <c r="T54" s="50" t="s"/>
      <c r="U54" s="48" t="s"/>
      <c r="V54" s="4" t="s"/>
    </row>
    <row r="55" spans="1:22">
      <c r="A55" s="4" t="s"/>
      <c r="B55" s="77">
        <v>10.85</v>
      </c>
      <c r="C55" s="4">
        <v>1000</v>
      </c>
      <c r="D55" s="4">
        <v>99</v>
      </c>
      <c r="E55" s="29">
        <v>20</v>
      </c>
      <c r="F55" s="46">
        <v>250</v>
      </c>
      <c r="G55" s="46">
        <v>2.6</v>
      </c>
      <c r="H55" s="46">
        <v>0.5</v>
      </c>
      <c r="I55" s="99">
        <v>315.8</v>
      </c>
      <c r="J55" s="33" t="s"/>
      <c r="K55" s="57">
        <f>=I55-J36</f>
        <v>2.30333333333334</v>
      </c>
      <c r="L55" s="58">
        <f>=K55/J36</f>
        <v>0.00734723388871761</v>
      </c>
      <c r="M55" s="64" t="s"/>
      <c r="N55" s="47" t="s"/>
      <c r="O55" s="63" t="s"/>
      <c r="P55" s="66" t="s"/>
      <c r="Q55" s="40" t="e">
        <f>=O55-P46</f>
        <v>#DIV/0!</v>
      </c>
      <c r="R55" s="41" t="e">
        <f>=Q55/P46</f>
        <v>#DIV/0!</v>
      </c>
      <c r="S55" s="55" t="s"/>
      <c r="T55" s="56" t="s"/>
      <c r="U55" s="48" t="s"/>
      <c r="V55" s="4" t="s"/>
    </row>
    <row r="56" spans="1:22">
      <c r="A56" s="4" t="s"/>
      <c r="B56" s="77">
        <v>10.85</v>
      </c>
      <c r="C56" s="4">
        <v>1000</v>
      </c>
      <c r="D56" s="4">
        <v>99</v>
      </c>
      <c r="E56" s="29">
        <v>20</v>
      </c>
      <c r="F56" s="46">
        <v>250</v>
      </c>
      <c r="G56" s="46">
        <v>2.6</v>
      </c>
      <c r="H56" s="46">
        <v>0.5</v>
      </c>
      <c r="I56" s="99">
        <v>313.2</v>
      </c>
      <c r="J56" s="33" t="s"/>
      <c r="K56" s="67">
        <f>=I56-J36</f>
        <v>-0.296666666666681</v>
      </c>
      <c r="L56" s="41">
        <f>=K56/J36</f>
        <v>-0.000946315218662658</v>
      </c>
      <c r="M56" s="64" t="s"/>
      <c r="N56" s="47" t="s"/>
      <c r="O56" s="68" t="s"/>
      <c r="P56" s="69" t="e">
        <f>=AVERAGE(O56:O65)</f>
        <v>#DIV/0!</v>
      </c>
      <c r="Q56" s="40" t="e">
        <f>=O56-P56</f>
        <v>#DIV/0!</v>
      </c>
      <c r="R56" s="41" t="e">
        <f>=Q56/P56</f>
        <v>#DIV/0!</v>
      </c>
      <c r="S56" s="76" t="s"/>
      <c r="T56" s="43" t="e">
        <f>=AVERAGE(S56:S60)</f>
        <v>#DIV/0!</v>
      </c>
      <c r="U56" s="48" t="s"/>
      <c r="V56" s="4" t="s"/>
    </row>
    <row r="57" spans="1:22">
      <c r="A57" s="4" t="s"/>
      <c r="B57" s="77">
        <v>10.85</v>
      </c>
      <c r="C57" s="4">
        <v>1000</v>
      </c>
      <c r="D57" s="4">
        <v>99</v>
      </c>
      <c r="E57" s="29">
        <v>20</v>
      </c>
      <c r="F57" s="46">
        <v>250</v>
      </c>
      <c r="G57" s="46">
        <v>2.6</v>
      </c>
      <c r="H57" s="46">
        <v>0.5</v>
      </c>
      <c r="I57" s="99">
        <v>317.7</v>
      </c>
      <c r="J57" s="33" t="s"/>
      <c r="K57" s="67">
        <f>=I57-J36</f>
        <v>4.20333333333332</v>
      </c>
      <c r="L57" s="41">
        <f>=K57/J36</f>
        <v>0.0134079043902646</v>
      </c>
      <c r="M57" s="64" t="s"/>
      <c r="N57" s="47" t="s"/>
      <c r="O57" s="68" t="s"/>
      <c r="P57" s="64" t="s"/>
      <c r="Q57" s="40" t="e">
        <f>=O57-P56</f>
        <v>#DIV/0!</v>
      </c>
      <c r="R57" s="41" t="e">
        <f>=Q57/P56</f>
        <v>#DIV/0!</v>
      </c>
      <c r="S57" s="76" t="s"/>
      <c r="T57" s="50" t="s"/>
      <c r="U57" s="48" t="s"/>
      <c r="V57" s="4" t="s"/>
    </row>
    <row r="58" spans="1:22">
      <c r="A58" s="4" t="s"/>
      <c r="B58" s="77">
        <v>10.85</v>
      </c>
      <c r="C58" s="4">
        <v>1000</v>
      </c>
      <c r="D58" s="4">
        <v>99</v>
      </c>
      <c r="E58" s="29">
        <v>20</v>
      </c>
      <c r="F58" s="46">
        <v>250</v>
      </c>
      <c r="G58" s="46">
        <v>2.6</v>
      </c>
      <c r="H58" s="46">
        <v>0.5</v>
      </c>
      <c r="I58" s="99">
        <v>306.6</v>
      </c>
      <c r="J58" s="33" t="s"/>
      <c r="K58" s="67">
        <f>=I58-J36</f>
        <v>-6.89666666666665</v>
      </c>
      <c r="L58" s="41">
        <f>=K58/J36</f>
        <v>-0.0219991706450892</v>
      </c>
      <c r="M58" s="64" t="s"/>
      <c r="N58" s="47" t="s"/>
      <c r="O58" s="68" t="s"/>
      <c r="P58" s="64" t="s"/>
      <c r="Q58" s="40" t="e">
        <f>=O58-P56</f>
        <v>#DIV/0!</v>
      </c>
      <c r="R58" s="41" t="e">
        <f>=Q58/P56</f>
        <v>#DIV/0!</v>
      </c>
      <c r="S58" s="76" t="s"/>
      <c r="T58" s="50" t="s"/>
      <c r="U58" s="48" t="s"/>
      <c r="V58" s="4" t="s"/>
    </row>
    <row r="59" spans="1:22">
      <c r="A59" s="4" t="s"/>
      <c r="B59" s="77">
        <v>10.85</v>
      </c>
      <c r="C59" s="4">
        <v>1000</v>
      </c>
      <c r="D59" s="4">
        <v>99</v>
      </c>
      <c r="E59" s="29">
        <v>20</v>
      </c>
      <c r="F59" s="46">
        <v>250</v>
      </c>
      <c r="G59" s="46">
        <v>2.6</v>
      </c>
      <c r="H59" s="46">
        <v>0.5</v>
      </c>
      <c r="I59" s="99">
        <v>317.7</v>
      </c>
      <c r="J59" s="33" t="s"/>
      <c r="K59" s="67">
        <f>=I59-J36</f>
        <v>4.20333333333332</v>
      </c>
      <c r="L59" s="41">
        <f>=K59/J36</f>
        <v>0.0134079043902646</v>
      </c>
      <c r="M59" s="64" t="s"/>
      <c r="N59" s="47" t="s"/>
      <c r="O59" s="68" t="s"/>
      <c r="P59" s="64" t="s"/>
      <c r="Q59" s="40" t="e">
        <f>=O59-P56</f>
        <v>#DIV/0!</v>
      </c>
      <c r="R59" s="41" t="e">
        <f>=Q59/P56</f>
        <v>#DIV/0!</v>
      </c>
      <c r="S59" s="76" t="s"/>
      <c r="T59" s="50" t="s"/>
      <c r="U59" s="48" t="s"/>
      <c r="V59" s="4" t="s"/>
    </row>
    <row r="60" spans="1:22">
      <c r="A60" s="4" t="s"/>
      <c r="B60" s="77">
        <v>10.85</v>
      </c>
      <c r="C60" s="4">
        <v>1000</v>
      </c>
      <c r="D60" s="4">
        <v>99</v>
      </c>
      <c r="E60" s="29">
        <v>20</v>
      </c>
      <c r="F60" s="46">
        <v>250</v>
      </c>
      <c r="G60" s="46">
        <v>2.6</v>
      </c>
      <c r="H60" s="46">
        <v>0.5</v>
      </c>
      <c r="I60" s="99">
        <v>321.7</v>
      </c>
      <c r="J60" s="33" t="s"/>
      <c r="K60" s="67">
        <f>=I60-J36</f>
        <v>8.20333333333332</v>
      </c>
      <c r="L60" s="41">
        <f>=K60/J36</f>
        <v>0.0261672107093111</v>
      </c>
      <c r="M60" s="64" t="s"/>
      <c r="N60" s="47" t="s"/>
      <c r="O60" s="68" t="s"/>
      <c r="P60" s="64" t="s"/>
      <c r="Q60" s="40" t="e">
        <f>=O60-P56</f>
        <v>#DIV/0!</v>
      </c>
      <c r="R60" s="41" t="e">
        <f>=Q60/P56</f>
        <v>#DIV/0!</v>
      </c>
      <c r="S60" s="76" t="s"/>
      <c r="T60" s="50" t="s"/>
      <c r="U60" s="48" t="s"/>
      <c r="V60" s="4" t="s"/>
    </row>
    <row r="61" spans="1:22">
      <c r="A61" s="4" t="s"/>
      <c r="B61" s="77">
        <v>10.85</v>
      </c>
      <c r="C61" s="4">
        <v>1000</v>
      </c>
      <c r="D61" s="4">
        <v>99</v>
      </c>
      <c r="E61" s="29">
        <v>20</v>
      </c>
      <c r="F61" s="46">
        <v>250</v>
      </c>
      <c r="G61" s="46">
        <v>2.6</v>
      </c>
      <c r="H61" s="46">
        <v>0.5</v>
      </c>
      <c r="I61" s="99">
        <v>323.7</v>
      </c>
      <c r="J61" s="33" t="s"/>
      <c r="K61" s="67">
        <f>=I61-J36</f>
        <v>10.2033333333333</v>
      </c>
      <c r="L61" s="41">
        <f>=K61/J36</f>
        <v>0.0325468638688343</v>
      </c>
      <c r="M61" s="64" t="s"/>
      <c r="N61" s="47" t="s"/>
      <c r="O61" s="68" t="s"/>
      <c r="P61" s="64" t="s"/>
      <c r="Q61" s="40" t="e">
        <f>=O61-P56</f>
        <v>#DIV/0!</v>
      </c>
      <c r="R61" s="41" t="e">
        <f>=Q61/P56</f>
        <v>#DIV/0!</v>
      </c>
      <c r="S61" s="52" t="s">
        <v>32</v>
      </c>
      <c r="T61" s="50" t="s"/>
      <c r="U61" s="48" t="s"/>
      <c r="V61" s="4" t="s"/>
    </row>
    <row r="62" spans="1:22">
      <c r="A62" s="4" t="s"/>
      <c r="B62" s="77">
        <v>10.85</v>
      </c>
      <c r="C62" s="4">
        <v>1000</v>
      </c>
      <c r="D62" s="4">
        <v>99</v>
      </c>
      <c r="E62" s="29">
        <v>20</v>
      </c>
      <c r="F62" s="46">
        <v>250</v>
      </c>
      <c r="G62" s="46">
        <v>2.6</v>
      </c>
      <c r="H62" s="46">
        <v>0.5</v>
      </c>
      <c r="I62" s="99">
        <v>311.2</v>
      </c>
      <c r="J62" s="33" t="s"/>
      <c r="K62" s="67">
        <f>=I62-J36</f>
        <v>-2.29666666666668</v>
      </c>
      <c r="L62" s="41">
        <f>=K62/J36</f>
        <v>-0.00732596837818589</v>
      </c>
      <c r="M62" s="64" t="s"/>
      <c r="N62" s="47" t="s"/>
      <c r="O62" s="68" t="s"/>
      <c r="P62" s="64" t="s"/>
      <c r="Q62" s="40" t="e">
        <f>=O62-P56</f>
        <v>#DIV/0!</v>
      </c>
      <c r="R62" s="41" t="e">
        <f>=Q62/P56</f>
        <v>#DIV/0!</v>
      </c>
      <c r="S62" s="53" t="s"/>
      <c r="T62" s="50" t="s"/>
      <c r="U62" s="48" t="s"/>
      <c r="V62" s="4" t="s"/>
    </row>
    <row r="63" spans="1:22">
      <c r="A63" s="4" t="s"/>
      <c r="B63" s="77">
        <v>10.85</v>
      </c>
      <c r="C63" s="4">
        <v>1000</v>
      </c>
      <c r="D63" s="4">
        <v>99</v>
      </c>
      <c r="E63" s="29">
        <v>20</v>
      </c>
      <c r="F63" s="46">
        <v>250</v>
      </c>
      <c r="G63" s="46">
        <v>2.6</v>
      </c>
      <c r="H63" s="46">
        <v>0.5</v>
      </c>
      <c r="I63" s="99">
        <v>309.9</v>
      </c>
      <c r="J63" s="33" t="s"/>
      <c r="K63" s="67">
        <f>=I63-J36</f>
        <v>-3.59666666666669</v>
      </c>
      <c r="L63" s="41">
        <f>=K63/J36</f>
        <v>-0.011472742931876</v>
      </c>
      <c r="M63" s="64" t="s"/>
      <c r="N63" s="47" t="s"/>
      <c r="O63" s="68" t="s"/>
      <c r="P63" s="64" t="s"/>
      <c r="Q63" s="40" t="e">
        <f>=O63-P56</f>
        <v>#DIV/0!</v>
      </c>
      <c r="R63" s="41" t="e">
        <f>=Q63/P56</f>
        <v>#DIV/0!</v>
      </c>
      <c r="S63" s="53" t="s"/>
      <c r="T63" s="50" t="s"/>
      <c r="U63" s="48" t="s"/>
      <c r="V63" s="4" t="s"/>
    </row>
    <row r="64" spans="1:22">
      <c r="A64" s="4" t="s"/>
      <c r="B64" s="77">
        <v>10.85</v>
      </c>
      <c r="C64" s="4">
        <v>1000</v>
      </c>
      <c r="D64" s="4">
        <v>99</v>
      </c>
      <c r="E64" s="29">
        <v>20</v>
      </c>
      <c r="F64" s="46">
        <v>250</v>
      </c>
      <c r="G64" s="46">
        <v>2.6</v>
      </c>
      <c r="H64" s="46">
        <v>0.5</v>
      </c>
      <c r="I64" s="99">
        <v>314</v>
      </c>
      <c r="J64" s="33" t="s"/>
      <c r="K64" s="67">
        <f>=I64-J36</f>
        <v>0.50333333333333</v>
      </c>
      <c r="L64" s="41">
        <f>=K64/J36</f>
        <v>0.00160554604514667</v>
      </c>
      <c r="M64" s="64" t="s"/>
      <c r="N64" s="47" t="s"/>
      <c r="O64" s="68" t="s"/>
      <c r="P64" s="64" t="s"/>
      <c r="Q64" s="40" t="e">
        <f>=O64-P56</f>
        <v>#DIV/0!</v>
      </c>
      <c r="R64" s="41" t="e">
        <f>=Q64/P56</f>
        <v>#DIV/0!</v>
      </c>
      <c r="S64" s="53" t="s"/>
      <c r="T64" s="50" t="s"/>
      <c r="U64" s="48" t="s"/>
      <c r="V64" s="4" t="s"/>
    </row>
    <row r="65" spans="1:22">
      <c r="A65" s="4" t="s"/>
      <c r="B65" s="77">
        <v>10.85</v>
      </c>
      <c r="C65" s="4">
        <v>1000</v>
      </c>
      <c r="D65" s="4">
        <v>99</v>
      </c>
      <c r="E65" s="29">
        <v>20</v>
      </c>
      <c r="F65" s="46">
        <v>250</v>
      </c>
      <c r="G65" s="46">
        <v>2.6</v>
      </c>
      <c r="H65" s="46">
        <v>0.5</v>
      </c>
      <c r="I65" s="99">
        <v>308.1</v>
      </c>
      <c r="J65" s="33" t="s"/>
      <c r="K65" s="67">
        <f>=I65-J36</f>
        <v>-5.39666666666665</v>
      </c>
      <c r="L65" s="41">
        <f>=K65/J36</f>
        <v>-0.0172144307754468</v>
      </c>
      <c r="M65" s="70" t="s"/>
      <c r="N65" s="71" t="s"/>
      <c r="O65" s="68" t="s"/>
      <c r="P65" s="70" t="s"/>
      <c r="Q65" s="40" t="e">
        <f>=O65-P56</f>
        <v>#DIV/0!</v>
      </c>
      <c r="R65" s="41" t="e">
        <f>=Q65/P56</f>
        <v>#DIV/0!</v>
      </c>
      <c r="S65" s="55" t="s"/>
      <c r="T65" s="56" t="s"/>
      <c r="U65" s="19" t="s"/>
      <c r="V65" s="4" t="s"/>
    </row>
    <row r="66" spans="1:22" s="100" customFormat="1">
      <c r="A66" s="80" t="s"/>
      <c r="B66" s="81" t="s"/>
      <c r="C66" s="81" t="s"/>
      <c r="D66" s="81" t="s"/>
      <c r="E66" s="82" t="s"/>
      <c r="F66" s="82" t="s"/>
      <c r="G66" s="82" t="s"/>
      <c r="H66" s="82" t="s"/>
      <c r="I66" s="82" t="s"/>
      <c r="J66" s="82" t="s"/>
      <c r="K66" s="82" t="s"/>
      <c r="L66" s="82" t="s"/>
      <c r="M66" s="82" t="s"/>
      <c r="N66" s="82" t="s"/>
      <c r="O66" s="82" t="s"/>
      <c r="P66" s="82" t="s"/>
      <c r="Q66" s="82" t="s"/>
      <c r="R66" s="82" t="s"/>
      <c r="S66" s="82" t="s"/>
      <c r="T66" s="82" t="s"/>
      <c r="U66" s="82" t="s"/>
      <c r="V66" s="83" t="s"/>
    </row>
    <row r="67" spans="1:24">
      <c r="A67" s="27" t="s"/>
      <c r="B67" s="28">
        <v>10.85</v>
      </c>
      <c r="C67" s="4">
        <v>1000</v>
      </c>
      <c r="D67" s="4">
        <v>99</v>
      </c>
      <c r="E67" s="29">
        <v>25</v>
      </c>
      <c r="F67" s="30">
        <v>250</v>
      </c>
      <c r="G67" s="30">
        <v>2.6</v>
      </c>
      <c r="H67" s="30">
        <v>0.5</v>
      </c>
      <c r="I67" s="99">
        <v>324</v>
      </c>
      <c r="J67" s="33">
        <f>=AVERAGE(I67:I96)</f>
        <v>329.326666666667</v>
      </c>
      <c r="K67" s="34">
        <f>=I67-J67</f>
        <v>-5.32666666666665</v>
      </c>
      <c r="L67" s="35">
        <f>=K67/J67</f>
        <v>-0.0161744164861637</v>
      </c>
      <c r="M67" s="74" t="s"/>
      <c r="N67" s="37" t="e">
        <f>=AVERAGE(M67:M81)</f>
        <v>#DIV/0!</v>
      </c>
      <c r="O67" s="84" t="s"/>
      <c r="P67" s="39" t="e">
        <f>=AVERAGE(O67:O76)</f>
        <v>#DIV/0!</v>
      </c>
      <c r="Q67" s="40" t="e">
        <f>=O67-P67</f>
        <v>#DIV/0!</v>
      </c>
      <c r="R67" s="41" t="e">
        <f>=Q67/P67</f>
        <v>#DIV/0!</v>
      </c>
      <c r="S67" s="76" t="s"/>
      <c r="T67" s="43" t="e">
        <f>=AVERAGE(S67:S71)</f>
        <v>#DIV/0!</v>
      </c>
      <c r="U67" s="44" t="e">
        <f>=((T67+T77+T87)/3)/N67</f>
        <v>#DIV/0!</v>
      </c>
      <c r="V67" s="45" t="s"/>
      <c r="W67" s="90" t="s">
        <v>41</v>
      </c>
      <c r="X67" s="93" t="s"/>
    </row>
    <row r="68" spans="1:24">
      <c r="A68" s="27" t="s"/>
      <c r="B68" s="77">
        <v>10.85</v>
      </c>
      <c r="C68" s="4">
        <v>1000</v>
      </c>
      <c r="D68" s="4">
        <v>99</v>
      </c>
      <c r="E68" s="29">
        <v>25</v>
      </c>
      <c r="F68" s="46">
        <v>250</v>
      </c>
      <c r="G68" s="46">
        <v>2.6</v>
      </c>
      <c r="H68" s="46">
        <v>0.5</v>
      </c>
      <c r="I68" s="99">
        <v>330</v>
      </c>
      <c r="J68" s="33" t="s"/>
      <c r="K68" s="34">
        <f>=I68-J67</f>
        <v>0.673333333333346</v>
      </c>
      <c r="L68" s="35">
        <f>=K68/J67</f>
        <v>0.00204457580112962</v>
      </c>
      <c r="M68" s="74" t="s"/>
      <c r="N68" s="47" t="s"/>
      <c r="O68" s="84" t="s"/>
      <c r="P68" s="48" t="s"/>
      <c r="Q68" s="40" t="e">
        <f>=O68-P67</f>
        <v>#DIV/0!</v>
      </c>
      <c r="R68" s="41" t="e">
        <f>=Q68/P67</f>
        <v>#DIV/0!</v>
      </c>
      <c r="S68" s="76" t="s"/>
      <c r="T68" s="50" t="s"/>
      <c r="U68" s="48" t="s"/>
      <c r="V68" s="4" t="s"/>
      <c r="W68" s="94" t="s"/>
      <c r="X68" s="95" t="s"/>
    </row>
    <row r="69" spans="1:24">
      <c r="A69" s="27" t="s"/>
      <c r="B69" s="77">
        <v>10.85</v>
      </c>
      <c r="C69" s="4">
        <v>1000</v>
      </c>
      <c r="D69" s="4">
        <v>99</v>
      </c>
      <c r="E69" s="29">
        <v>25</v>
      </c>
      <c r="F69" s="46">
        <v>250</v>
      </c>
      <c r="G69" s="46">
        <v>2.6</v>
      </c>
      <c r="H69" s="46">
        <v>0.5</v>
      </c>
      <c r="I69" s="99">
        <v>327.5</v>
      </c>
      <c r="J69" s="33" t="s"/>
      <c r="K69" s="34">
        <f>=I69-J67</f>
        <v>-1.82666666666665</v>
      </c>
      <c r="L69" s="35">
        <f>=K69/J67</f>
        <v>-0.00554667098524258</v>
      </c>
      <c r="M69" s="74" t="s"/>
      <c r="N69" s="47" t="s"/>
      <c r="O69" s="84" t="s"/>
      <c r="P69" s="48" t="s"/>
      <c r="Q69" s="40" t="e">
        <f>=O69-P67</f>
        <v>#DIV/0!</v>
      </c>
      <c r="R69" s="41" t="e">
        <f>=Q69/P67</f>
        <v>#DIV/0!</v>
      </c>
      <c r="S69" s="76" t="s"/>
      <c r="T69" s="50" t="s"/>
      <c r="U69" s="48" t="s"/>
      <c r="V69" s="4" t="s"/>
      <c r="W69" s="94" t="s"/>
      <c r="X69" s="95" t="s"/>
    </row>
    <row r="70" spans="1:24">
      <c r="A70" s="27" t="s"/>
      <c r="B70" s="77">
        <v>10.85</v>
      </c>
      <c r="C70" s="4">
        <v>1000</v>
      </c>
      <c r="D70" s="4">
        <v>99</v>
      </c>
      <c r="E70" s="29">
        <v>25</v>
      </c>
      <c r="F70" s="46">
        <v>250</v>
      </c>
      <c r="G70" s="46">
        <v>2.6</v>
      </c>
      <c r="H70" s="46">
        <v>0.5</v>
      </c>
      <c r="I70" s="99">
        <v>325.7</v>
      </c>
      <c r="J70" s="33" t="s"/>
      <c r="K70" s="34">
        <f>=I70-J67</f>
        <v>-3.62666666666667</v>
      </c>
      <c r="L70" s="35">
        <f>=K70/J67</f>
        <v>-0.0110123686714306</v>
      </c>
      <c r="M70" s="74" t="s"/>
      <c r="N70" s="47" t="s"/>
      <c r="O70" s="84" t="s"/>
      <c r="P70" s="48" t="s"/>
      <c r="Q70" s="40" t="e">
        <f>=O70-P67</f>
        <v>#DIV/0!</v>
      </c>
      <c r="R70" s="41" t="e">
        <f>=Q70/P67</f>
        <v>#DIV/0!</v>
      </c>
      <c r="S70" s="76" t="s"/>
      <c r="T70" s="50" t="s"/>
      <c r="U70" s="48" t="s"/>
      <c r="V70" s="4" t="s"/>
      <c r="W70" s="94" t="s"/>
      <c r="X70" s="95" t="s"/>
    </row>
    <row r="71" spans="1:24">
      <c r="A71" s="27" t="s"/>
      <c r="B71" s="77">
        <v>10.85</v>
      </c>
      <c r="C71" s="4">
        <v>1000</v>
      </c>
      <c r="D71" s="4">
        <v>99</v>
      </c>
      <c r="E71" s="29">
        <v>25</v>
      </c>
      <c r="F71" s="46">
        <v>250</v>
      </c>
      <c r="G71" s="46">
        <v>2.6</v>
      </c>
      <c r="H71" s="46">
        <v>0.5</v>
      </c>
      <c r="I71" s="99">
        <v>330.4</v>
      </c>
      <c r="J71" s="33" t="s"/>
      <c r="K71" s="34">
        <f>=I71-J67</f>
        <v>1.07333333333332</v>
      </c>
      <c r="L71" s="35">
        <f>=K71/J67</f>
        <v>0.0032591752869491</v>
      </c>
      <c r="M71" s="74" t="s"/>
      <c r="N71" s="47" t="s"/>
      <c r="O71" s="84" t="s"/>
      <c r="P71" s="48" t="s"/>
      <c r="Q71" s="40" t="e">
        <f>=O71-P67</f>
        <v>#DIV/0!</v>
      </c>
      <c r="R71" s="41" t="e">
        <f>=Q71/P67</f>
        <v>#DIV/0!</v>
      </c>
      <c r="S71" s="76" t="s"/>
      <c r="T71" s="50" t="s"/>
      <c r="U71" s="48" t="s"/>
      <c r="V71" s="4" t="s"/>
      <c r="W71" s="94" t="s"/>
      <c r="X71" s="95" t="s"/>
    </row>
    <row r="72" spans="1:24">
      <c r="A72" s="27" t="s"/>
      <c r="B72" s="77">
        <v>10.85</v>
      </c>
      <c r="C72" s="4">
        <v>1000</v>
      </c>
      <c r="D72" s="4">
        <v>99</v>
      </c>
      <c r="E72" s="29">
        <v>25</v>
      </c>
      <c r="F72" s="46">
        <v>250</v>
      </c>
      <c r="G72" s="46">
        <v>2.6</v>
      </c>
      <c r="H72" s="46">
        <v>0.5</v>
      </c>
      <c r="I72" s="99">
        <v>326.7</v>
      </c>
      <c r="J72" s="33" t="s"/>
      <c r="K72" s="34">
        <f>=I72-J67</f>
        <v>-2.62666666666667</v>
      </c>
      <c r="L72" s="35">
        <f>=K72/J67</f>
        <v>-0.00797586995688172</v>
      </c>
      <c r="M72" s="74" t="s"/>
      <c r="N72" s="47" t="s"/>
      <c r="O72" s="84" t="s"/>
      <c r="P72" s="48" t="s"/>
      <c r="Q72" s="40" t="e">
        <f>=O72-P67</f>
        <v>#DIV/0!</v>
      </c>
      <c r="R72" s="41" t="e">
        <f>=Q72/P67</f>
        <v>#DIV/0!</v>
      </c>
      <c r="S72" s="52" t="s">
        <v>32</v>
      </c>
      <c r="T72" s="50" t="s"/>
      <c r="U72" s="48" t="s"/>
      <c r="V72" s="4" t="s"/>
      <c r="W72" s="94" t="s"/>
      <c r="X72" s="95" t="s"/>
    </row>
    <row r="73" spans="1:24">
      <c r="A73" s="27" t="s"/>
      <c r="B73" s="77">
        <v>10.85</v>
      </c>
      <c r="C73" s="4">
        <v>1000</v>
      </c>
      <c r="D73" s="4">
        <v>99</v>
      </c>
      <c r="E73" s="29">
        <v>25</v>
      </c>
      <c r="F73" s="46">
        <v>250</v>
      </c>
      <c r="G73" s="46">
        <v>2.6</v>
      </c>
      <c r="H73" s="46">
        <v>0.5</v>
      </c>
      <c r="I73" s="99">
        <v>334.9</v>
      </c>
      <c r="J73" s="33" t="s"/>
      <c r="K73" s="34">
        <f>=I73-J67</f>
        <v>5.57333333333332</v>
      </c>
      <c r="L73" s="35">
        <f>=K73/J67</f>
        <v>0.0169234195024191</v>
      </c>
      <c r="M73" s="74" t="s"/>
      <c r="N73" s="47" t="s"/>
      <c r="O73" s="84" t="s"/>
      <c r="P73" s="48" t="s"/>
      <c r="Q73" s="40" t="e">
        <f>=O73-P67</f>
        <v>#DIV/0!</v>
      </c>
      <c r="R73" s="41" t="e">
        <f>=Q73/P67</f>
        <v>#DIV/0!</v>
      </c>
      <c r="S73" s="53" t="s"/>
      <c r="T73" s="50" t="s"/>
      <c r="U73" s="48" t="s"/>
      <c r="V73" s="4" t="s"/>
      <c r="W73" s="94" t="s"/>
      <c r="X73" s="95" t="s"/>
    </row>
    <row r="74" spans="1:24">
      <c r="A74" s="4" t="s"/>
      <c r="B74" s="77">
        <v>10.85</v>
      </c>
      <c r="C74" s="4">
        <v>1000</v>
      </c>
      <c r="D74" s="4">
        <v>99</v>
      </c>
      <c r="E74" s="29">
        <v>25</v>
      </c>
      <c r="F74" s="46">
        <v>250</v>
      </c>
      <c r="G74" s="46">
        <v>2.6</v>
      </c>
      <c r="H74" s="46">
        <v>0.5</v>
      </c>
      <c r="I74" s="99">
        <v>328.9</v>
      </c>
      <c r="J74" s="33" t="s"/>
      <c r="K74" s="34">
        <f>=I74-J67</f>
        <v>-0.426666666666677</v>
      </c>
      <c r="L74" s="35">
        <f>=K74/J67</f>
        <v>-0.00129557278487422</v>
      </c>
      <c r="M74" s="74" t="s"/>
      <c r="N74" s="47" t="s"/>
      <c r="O74" s="84" t="s"/>
      <c r="P74" s="48" t="s"/>
      <c r="Q74" s="40" t="e">
        <f>=O74-P67</f>
        <v>#DIV/0!</v>
      </c>
      <c r="R74" s="41" t="e">
        <f>=Q74/P67</f>
        <v>#DIV/0!</v>
      </c>
      <c r="S74" s="53" t="s"/>
      <c r="T74" s="50" t="s"/>
      <c r="U74" s="48" t="s"/>
      <c r="V74" s="4" t="s"/>
      <c r="W74" s="94" t="s"/>
      <c r="X74" s="95" t="s"/>
    </row>
    <row r="75" spans="1:24">
      <c r="A75" s="4" t="s"/>
      <c r="B75" s="77">
        <v>10.85</v>
      </c>
      <c r="C75" s="4">
        <v>1000</v>
      </c>
      <c r="D75" s="4">
        <v>99</v>
      </c>
      <c r="E75" s="29">
        <v>25</v>
      </c>
      <c r="F75" s="46">
        <v>250</v>
      </c>
      <c r="G75" s="46">
        <v>2.6</v>
      </c>
      <c r="H75" s="46">
        <v>0.5</v>
      </c>
      <c r="I75" s="99">
        <v>324.2</v>
      </c>
      <c r="J75" s="33" t="s"/>
      <c r="K75" s="34">
        <f>=I75-J67</f>
        <v>-5.12666666666667</v>
      </c>
      <c r="L75" s="35">
        <f>=K75/J67</f>
        <v>-0.0155671167432539</v>
      </c>
      <c r="M75" s="74" t="s"/>
      <c r="N75" s="47" t="s"/>
      <c r="O75" s="84" t="s"/>
      <c r="P75" s="48" t="s"/>
      <c r="Q75" s="40" t="e">
        <f>=O75-P67</f>
        <v>#DIV/0!</v>
      </c>
      <c r="R75" s="41" t="e">
        <f>=Q75/P67</f>
        <v>#DIV/0!</v>
      </c>
      <c r="S75" s="53" t="s"/>
      <c r="T75" s="50" t="s"/>
      <c r="U75" s="48" t="s"/>
      <c r="V75" s="4" t="s"/>
      <c r="W75" s="94" t="s"/>
      <c r="X75" s="95" t="s"/>
    </row>
    <row r="76" spans="1:24">
      <c r="A76" s="4" t="s"/>
      <c r="B76" s="77">
        <v>10.85</v>
      </c>
      <c r="C76" s="4">
        <v>1000</v>
      </c>
      <c r="D76" s="4">
        <v>99</v>
      </c>
      <c r="E76" s="29">
        <v>25</v>
      </c>
      <c r="F76" s="46">
        <v>250</v>
      </c>
      <c r="G76" s="46">
        <v>2.6</v>
      </c>
      <c r="H76" s="46">
        <v>0.5</v>
      </c>
      <c r="I76" s="99">
        <v>326.1</v>
      </c>
      <c r="J76" s="33" t="s"/>
      <c r="K76" s="34">
        <f>=I76-J67</f>
        <v>-3.22666666666663</v>
      </c>
      <c r="L76" s="35">
        <f>=K76/J67</f>
        <v>-0.00979776918561094</v>
      </c>
      <c r="M76" s="74" t="s"/>
      <c r="N76" s="47" t="s"/>
      <c r="O76" s="84" t="s"/>
      <c r="P76" s="19" t="s"/>
      <c r="Q76" s="40" t="e">
        <f>=O76-P67</f>
        <v>#DIV/0!</v>
      </c>
      <c r="R76" s="41" t="e">
        <f>=Q76/P67</f>
        <v>#DIV/0!</v>
      </c>
      <c r="S76" s="55" t="s"/>
      <c r="T76" s="56" t="s"/>
      <c r="U76" s="48" t="s"/>
      <c r="V76" s="4" t="s"/>
      <c r="W76" s="94" t="s"/>
      <c r="X76" s="95" t="s"/>
    </row>
    <row r="77" spans="1:24">
      <c r="A77" s="4" t="s"/>
      <c r="B77" s="77">
        <v>10.85</v>
      </c>
      <c r="C77" s="4">
        <v>1000</v>
      </c>
      <c r="D77" s="4">
        <v>99</v>
      </c>
      <c r="E77" s="29">
        <v>25</v>
      </c>
      <c r="F77" s="46">
        <v>250</v>
      </c>
      <c r="G77" s="46">
        <v>2.6</v>
      </c>
      <c r="H77" s="46">
        <v>0.5</v>
      </c>
      <c r="I77" s="99">
        <v>327.6</v>
      </c>
      <c r="J77" s="33" t="s"/>
      <c r="K77" s="57">
        <f>=I77-J67</f>
        <v>-1.72666666666663</v>
      </c>
      <c r="L77" s="58">
        <f>=K77/J67</f>
        <v>-0.00524302111378762</v>
      </c>
      <c r="M77" s="74" t="s"/>
      <c r="N77" s="47" t="s"/>
      <c r="O77" s="85" t="s"/>
      <c r="P77" s="60" t="e">
        <f>=AVERAGE(O77:O86)</f>
        <v>#DIV/0!</v>
      </c>
      <c r="Q77" s="40" t="e">
        <f>=O77-P77</f>
        <v>#DIV/0!</v>
      </c>
      <c r="R77" s="41" t="e">
        <f>=Q77/P77</f>
        <v>#DIV/0!</v>
      </c>
      <c r="S77" s="76" t="s"/>
      <c r="T77" s="43" t="e">
        <f>=AVERAGE(S77:S81)</f>
        <v>#DIV/0!</v>
      </c>
      <c r="U77" s="48" t="s"/>
      <c r="V77" s="4" t="s"/>
      <c r="W77" s="94" t="s"/>
      <c r="X77" s="95" t="s"/>
    </row>
    <row r="78" spans="1:24">
      <c r="A78" s="4" t="s"/>
      <c r="B78" s="77">
        <v>10.85</v>
      </c>
      <c r="C78" s="4">
        <v>1000</v>
      </c>
      <c r="D78" s="4">
        <v>99</v>
      </c>
      <c r="E78" s="29">
        <v>25</v>
      </c>
      <c r="F78" s="46">
        <v>250</v>
      </c>
      <c r="G78" s="46">
        <v>2.6</v>
      </c>
      <c r="H78" s="46">
        <v>0.5</v>
      </c>
      <c r="I78" s="99">
        <v>329.4</v>
      </c>
      <c r="J78" s="33" t="s"/>
      <c r="K78" s="57">
        <f>=I78-J67</f>
        <v>0.0733333333333235</v>
      </c>
      <c r="L78" s="58">
        <f>=K78/J67</f>
        <v>0.000222676572400221</v>
      </c>
      <c r="M78" s="74" t="s"/>
      <c r="N78" s="47" t="s"/>
      <c r="O78" s="85" t="s"/>
      <c r="P78" s="61" t="s"/>
      <c r="Q78" s="40" t="e">
        <f>=O78-P77</f>
        <v>#DIV/0!</v>
      </c>
      <c r="R78" s="41" t="e">
        <f>=Q78/P77</f>
        <v>#DIV/0!</v>
      </c>
      <c r="S78" s="76" t="s"/>
      <c r="T78" s="50" t="s"/>
      <c r="U78" s="48" t="s"/>
      <c r="V78" s="4" t="s"/>
      <c r="W78" s="94" t="s"/>
      <c r="X78" s="95" t="s"/>
    </row>
    <row r="79" spans="1:24">
      <c r="A79" s="4" t="s"/>
      <c r="B79" s="77">
        <v>10.85</v>
      </c>
      <c r="C79" s="4">
        <v>1000</v>
      </c>
      <c r="D79" s="4">
        <v>99</v>
      </c>
      <c r="E79" s="29">
        <v>25</v>
      </c>
      <c r="F79" s="46">
        <v>250</v>
      </c>
      <c r="G79" s="46">
        <v>2.6</v>
      </c>
      <c r="H79" s="46">
        <v>0.5</v>
      </c>
      <c r="I79" s="99">
        <v>331</v>
      </c>
      <c r="J79" s="33" t="s"/>
      <c r="K79" s="57">
        <f>=I79-J67</f>
        <v>1.67333333333335</v>
      </c>
      <c r="L79" s="58">
        <f>=K79/J67</f>
        <v>0.0050810745156785</v>
      </c>
      <c r="M79" s="74" t="s"/>
      <c r="N79" s="47" t="s"/>
      <c r="O79" s="85" t="s"/>
      <c r="P79" s="61" t="s"/>
      <c r="Q79" s="40" t="e">
        <f>=O79-P77</f>
        <v>#DIV/0!</v>
      </c>
      <c r="R79" s="41" t="e">
        <f>=Q79/P77</f>
        <v>#DIV/0!</v>
      </c>
      <c r="S79" s="76" t="s"/>
      <c r="T79" s="50" t="s"/>
      <c r="U79" s="48" t="s"/>
      <c r="V79" s="4" t="s"/>
      <c r="W79" s="94" t="s"/>
      <c r="X79" s="95" t="s"/>
    </row>
    <row r="80" spans="1:24">
      <c r="A80" s="4" t="s"/>
      <c r="B80" s="77">
        <v>10.85</v>
      </c>
      <c r="C80" s="4">
        <v>1000</v>
      </c>
      <c r="D80" s="4">
        <v>99</v>
      </c>
      <c r="E80" s="29">
        <v>25</v>
      </c>
      <c r="F80" s="46">
        <v>250</v>
      </c>
      <c r="G80" s="46">
        <v>2.6</v>
      </c>
      <c r="H80" s="46">
        <v>0.5</v>
      </c>
      <c r="I80" s="99">
        <v>330</v>
      </c>
      <c r="J80" s="33" t="s"/>
      <c r="K80" s="57">
        <f>=I80-J67</f>
        <v>0.673333333333346</v>
      </c>
      <c r="L80" s="58">
        <f>=K80/J67</f>
        <v>0.00204457580112962</v>
      </c>
      <c r="M80" s="74" t="s"/>
      <c r="N80" s="47" t="s"/>
      <c r="O80" s="85" t="s"/>
      <c r="P80" s="61" t="s"/>
      <c r="Q80" s="40" t="e">
        <f>=O80-P77</f>
        <v>#DIV/0!</v>
      </c>
      <c r="R80" s="41" t="e">
        <f>=Q80/P77</f>
        <v>#DIV/0!</v>
      </c>
      <c r="S80" s="76" t="s"/>
      <c r="T80" s="50" t="s"/>
      <c r="U80" s="48" t="s"/>
      <c r="V80" s="4" t="s"/>
      <c r="W80" s="94" t="s"/>
      <c r="X80" s="95" t="s"/>
    </row>
    <row r="81" spans="1:24">
      <c r="A81" s="4" t="s"/>
      <c r="B81" s="77">
        <v>10.85</v>
      </c>
      <c r="C81" s="4">
        <v>1000</v>
      </c>
      <c r="D81" s="4">
        <v>99</v>
      </c>
      <c r="E81" s="29">
        <v>25</v>
      </c>
      <c r="F81" s="46">
        <v>250</v>
      </c>
      <c r="G81" s="46">
        <v>2.6</v>
      </c>
      <c r="H81" s="46">
        <v>0.5</v>
      </c>
      <c r="I81" s="99">
        <v>328.1</v>
      </c>
      <c r="J81" s="33" t="s"/>
      <c r="K81" s="57">
        <f>=I81-J67</f>
        <v>-1.22666666666663</v>
      </c>
      <c r="L81" s="58">
        <f>=K81/J67</f>
        <v>-0.00372477175651318</v>
      </c>
      <c r="M81" s="74" t="s"/>
      <c r="N81" s="47" t="s"/>
      <c r="O81" s="85" t="s"/>
      <c r="P81" s="61" t="s"/>
      <c r="Q81" s="40" t="e">
        <f>=O81-P77</f>
        <v>#DIV/0!</v>
      </c>
      <c r="R81" s="41" t="e">
        <f>=Q81/P77</f>
        <v>#DIV/0!</v>
      </c>
      <c r="S81" s="76" t="s"/>
      <c r="T81" s="50" t="s"/>
      <c r="U81" s="48" t="s"/>
      <c r="V81" s="4" t="s"/>
      <c r="W81" s="94" t="s"/>
      <c r="X81" s="95" t="s"/>
    </row>
    <row r="82" spans="1:24">
      <c r="A82" s="4" t="s"/>
      <c r="B82" s="77">
        <v>10.85</v>
      </c>
      <c r="C82" s="4">
        <v>1000</v>
      </c>
      <c r="D82" s="4">
        <v>99</v>
      </c>
      <c r="E82" s="29">
        <v>25</v>
      </c>
      <c r="F82" s="46">
        <v>250</v>
      </c>
      <c r="G82" s="46">
        <v>2.6</v>
      </c>
      <c r="H82" s="46">
        <v>0.5</v>
      </c>
      <c r="I82" s="99">
        <v>328.7</v>
      </c>
      <c r="J82" s="33" t="s"/>
      <c r="K82" s="57">
        <f>=I82-J67</f>
        <v>-0.626666666666665</v>
      </c>
      <c r="L82" s="58">
        <f>=K82/J67</f>
        <v>-0.00190287252778396</v>
      </c>
      <c r="M82" s="62" t="s">
        <v>32</v>
      </c>
      <c r="N82" s="47" t="s"/>
      <c r="O82" s="85" t="s"/>
      <c r="P82" s="61" t="s"/>
      <c r="Q82" s="40" t="e">
        <f>=O82-P77</f>
        <v>#DIV/0!</v>
      </c>
      <c r="R82" s="41" t="e">
        <f>=Q82/P77</f>
        <v>#DIV/0!</v>
      </c>
      <c r="S82" s="52" t="s">
        <v>32</v>
      </c>
      <c r="T82" s="50" t="s"/>
      <c r="U82" s="48" t="s"/>
      <c r="V82" s="4" t="s"/>
      <c r="W82" s="94" t="s"/>
      <c r="X82" s="95" t="s"/>
    </row>
    <row r="83" spans="1:24">
      <c r="A83" s="4" t="s"/>
      <c r="B83" s="77">
        <v>10.85</v>
      </c>
      <c r="C83" s="4">
        <v>1000</v>
      </c>
      <c r="D83" s="4">
        <v>99</v>
      </c>
      <c r="E83" s="29">
        <v>25</v>
      </c>
      <c r="F83" s="46">
        <v>250</v>
      </c>
      <c r="G83" s="46">
        <v>2.6</v>
      </c>
      <c r="H83" s="46">
        <v>0.5</v>
      </c>
      <c r="I83" s="99">
        <v>333.8</v>
      </c>
      <c r="J83" s="33" t="s"/>
      <c r="K83" s="57">
        <f>=I83-J67</f>
        <v>4.47333333333336</v>
      </c>
      <c r="L83" s="58">
        <f>=K83/J67</f>
        <v>0.0135832709164154</v>
      </c>
      <c r="M83" s="64" t="s"/>
      <c r="N83" s="47" t="s"/>
      <c r="O83" s="85" t="s"/>
      <c r="P83" s="61" t="s"/>
      <c r="Q83" s="40" t="e">
        <f>=O83-P77</f>
        <v>#DIV/0!</v>
      </c>
      <c r="R83" s="41" t="e">
        <f>=Q83/P77</f>
        <v>#DIV/0!</v>
      </c>
      <c r="S83" s="53" t="s"/>
      <c r="T83" s="50" t="s"/>
      <c r="U83" s="48" t="s"/>
      <c r="V83" s="4" t="s"/>
      <c r="W83" s="94" t="s"/>
      <c r="X83" s="95" t="s"/>
    </row>
    <row r="84" spans="1:24">
      <c r="A84" s="4" t="s"/>
      <c r="B84" s="77">
        <v>10.85</v>
      </c>
      <c r="C84" s="4">
        <v>1000</v>
      </c>
      <c r="D84" s="4">
        <v>99</v>
      </c>
      <c r="E84" s="29">
        <v>25</v>
      </c>
      <c r="F84" s="46">
        <v>250</v>
      </c>
      <c r="G84" s="46">
        <v>2.6</v>
      </c>
      <c r="H84" s="46">
        <v>0.5</v>
      </c>
      <c r="I84" s="99">
        <v>332.6</v>
      </c>
      <c r="J84" s="33" t="s"/>
      <c r="K84" s="57">
        <f>=I84-J67</f>
        <v>3.27333333333337</v>
      </c>
      <c r="L84" s="58">
        <f>=K84/J67</f>
        <v>0.00993947245895677</v>
      </c>
      <c r="M84" s="64" t="s"/>
      <c r="N84" s="47" t="s"/>
      <c r="O84" s="85" t="s"/>
      <c r="P84" s="61" t="s"/>
      <c r="Q84" s="40" t="e">
        <f>=O84-P77</f>
        <v>#DIV/0!</v>
      </c>
      <c r="R84" s="41" t="e">
        <f>=Q84/P77</f>
        <v>#DIV/0!</v>
      </c>
      <c r="S84" s="53" t="s"/>
      <c r="T84" s="50" t="s"/>
      <c r="U84" s="48" t="s"/>
      <c r="V84" s="4" t="s"/>
      <c r="W84" s="94" t="s"/>
      <c r="X84" s="95" t="s"/>
    </row>
    <row r="85" spans="1:24">
      <c r="A85" s="4" t="s"/>
      <c r="B85" s="77">
        <v>10.85</v>
      </c>
      <c r="C85" s="4">
        <v>1000</v>
      </c>
      <c r="D85" s="4">
        <v>99</v>
      </c>
      <c r="E85" s="29">
        <v>25</v>
      </c>
      <c r="F85" s="46">
        <v>250</v>
      </c>
      <c r="G85" s="46">
        <v>2.6</v>
      </c>
      <c r="H85" s="46">
        <v>0.5</v>
      </c>
      <c r="I85" s="99">
        <v>328.3</v>
      </c>
      <c r="J85" s="33" t="s"/>
      <c r="K85" s="57">
        <f>=I85-J67</f>
        <v>-1.02666666666664</v>
      </c>
      <c r="L85" s="58">
        <f>=K85/J67</f>
        <v>-0.00311747201360344</v>
      </c>
      <c r="M85" s="64" t="s"/>
      <c r="N85" s="47" t="s"/>
      <c r="O85" s="85" t="s"/>
      <c r="P85" s="61" t="s"/>
      <c r="Q85" s="40" t="e">
        <f>=O85-P77</f>
        <v>#DIV/0!</v>
      </c>
      <c r="R85" s="41" t="e">
        <f>=Q85/P77</f>
        <v>#DIV/0!</v>
      </c>
      <c r="S85" s="53" t="s"/>
      <c r="T85" s="50" t="s"/>
      <c r="U85" s="48" t="s"/>
      <c r="V85" s="4" t="s"/>
      <c r="W85" s="94" t="s"/>
      <c r="X85" s="95" t="s"/>
    </row>
    <row r="86" spans="1:24">
      <c r="A86" s="4" t="s"/>
      <c r="B86" s="77">
        <v>10.85</v>
      </c>
      <c r="C86" s="4">
        <v>1000</v>
      </c>
      <c r="D86" s="4">
        <v>99</v>
      </c>
      <c r="E86" s="29">
        <v>25</v>
      </c>
      <c r="F86" s="46">
        <v>250</v>
      </c>
      <c r="G86" s="46">
        <v>2.6</v>
      </c>
      <c r="H86" s="46">
        <v>0.5</v>
      </c>
      <c r="I86" s="99">
        <v>331.8</v>
      </c>
      <c r="J86" s="33" t="s"/>
      <c r="K86" s="57">
        <f>=I86-J67</f>
        <v>2.47333333333336</v>
      </c>
      <c r="L86" s="58">
        <f>=K86/J67</f>
        <v>0.00751027348731763</v>
      </c>
      <c r="M86" s="64" t="s"/>
      <c r="N86" s="47" t="s"/>
      <c r="O86" s="85" t="s"/>
      <c r="P86" s="66" t="s"/>
      <c r="Q86" s="40" t="e">
        <f>=O86-P77</f>
        <v>#DIV/0!</v>
      </c>
      <c r="R86" s="41" t="e">
        <f>=Q86/P77</f>
        <v>#DIV/0!</v>
      </c>
      <c r="S86" s="55" t="s"/>
      <c r="T86" s="56" t="s"/>
      <c r="U86" s="48" t="s"/>
      <c r="V86" s="4" t="s"/>
      <c r="W86" s="94" t="s"/>
      <c r="X86" s="95" t="s"/>
    </row>
    <row r="87" spans="1:24">
      <c r="A87" s="4" t="s"/>
      <c r="B87" s="77">
        <v>10.85</v>
      </c>
      <c r="C87" s="4">
        <v>1000</v>
      </c>
      <c r="D87" s="4">
        <v>99</v>
      </c>
      <c r="E87" s="29">
        <v>25</v>
      </c>
      <c r="F87" s="46">
        <v>250</v>
      </c>
      <c r="G87" s="46">
        <v>2.6</v>
      </c>
      <c r="H87" s="46">
        <v>0.5</v>
      </c>
      <c r="I87" s="99">
        <v>330.7</v>
      </c>
      <c r="J87" s="33" t="s"/>
      <c r="K87" s="67">
        <f>=I87-J67</f>
        <v>1.37333333333334</v>
      </c>
      <c r="L87" s="41">
        <f>=K87/J67</f>
        <v>0.0041701249013138</v>
      </c>
      <c r="M87" s="64" t="s"/>
      <c r="N87" s="47" t="s"/>
      <c r="O87" s="68" t="s"/>
      <c r="P87" s="69" t="e">
        <f>=AVERAGE(O87:O96)</f>
        <v>#DIV/0!</v>
      </c>
      <c r="Q87" s="40" t="e">
        <f>=O87-P87</f>
        <v>#DIV/0!</v>
      </c>
      <c r="R87" s="41" t="e">
        <f>=Q87/P87</f>
        <v>#DIV/0!</v>
      </c>
      <c r="S87" s="76" t="s"/>
      <c r="T87" s="43" t="e">
        <f>=AVERAGE(S87:S91)</f>
        <v>#DIV/0!</v>
      </c>
      <c r="U87" s="48" t="s"/>
      <c r="V87" s="4" t="s"/>
      <c r="W87" s="94" t="s"/>
      <c r="X87" s="95" t="s"/>
    </row>
    <row r="88" spans="1:24">
      <c r="A88" s="4" t="s"/>
      <c r="B88" s="77">
        <v>10.85</v>
      </c>
      <c r="C88" s="4">
        <v>1000</v>
      </c>
      <c r="D88" s="4">
        <v>99</v>
      </c>
      <c r="E88" s="29">
        <v>25</v>
      </c>
      <c r="F88" s="46">
        <v>250</v>
      </c>
      <c r="G88" s="46">
        <v>2.6</v>
      </c>
      <c r="H88" s="46">
        <v>0.5</v>
      </c>
      <c r="I88" s="99">
        <v>327.5</v>
      </c>
      <c r="J88" s="33" t="s"/>
      <c r="K88" s="67">
        <f>=I88-J67</f>
        <v>-1.82666666666665</v>
      </c>
      <c r="L88" s="41">
        <f>=K88/J67</f>
        <v>-0.00554667098524258</v>
      </c>
      <c r="M88" s="64" t="s"/>
      <c r="N88" s="47" t="s"/>
      <c r="O88" s="68" t="s"/>
      <c r="P88" s="64" t="s"/>
      <c r="Q88" s="40" t="e">
        <f>=O88-P87</f>
        <v>#DIV/0!</v>
      </c>
      <c r="R88" s="41" t="e">
        <f>=Q88/P87</f>
        <v>#DIV/0!</v>
      </c>
      <c r="S88" s="76" t="s"/>
      <c r="T88" s="50" t="s"/>
      <c r="U88" s="48" t="s"/>
      <c r="V88" s="4" t="s"/>
      <c r="W88" s="94" t="s"/>
      <c r="X88" s="95" t="s"/>
    </row>
    <row r="89" spans="1:24">
      <c r="A89" s="4" t="s"/>
      <c r="B89" s="77">
        <v>10.85</v>
      </c>
      <c r="C89" s="4">
        <v>1000</v>
      </c>
      <c r="D89" s="4">
        <v>99</v>
      </c>
      <c r="E89" s="29">
        <v>25</v>
      </c>
      <c r="F89" s="46">
        <v>250</v>
      </c>
      <c r="G89" s="46">
        <v>2.6</v>
      </c>
      <c r="H89" s="46">
        <v>0.5</v>
      </c>
      <c r="I89" s="99">
        <v>330.7</v>
      </c>
      <c r="J89" s="33" t="s"/>
      <c r="K89" s="67">
        <f>=I89-J67</f>
        <v>1.37333333333334</v>
      </c>
      <c r="L89" s="41">
        <f>=K89/J67</f>
        <v>0.0041701249013138</v>
      </c>
      <c r="M89" s="64" t="s"/>
      <c r="N89" s="47" t="s"/>
      <c r="O89" s="68" t="s"/>
      <c r="P89" s="64" t="s"/>
      <c r="Q89" s="40" t="e">
        <f>=O89-P87</f>
        <v>#DIV/0!</v>
      </c>
      <c r="R89" s="41" t="e">
        <f>=Q89/P87</f>
        <v>#DIV/0!</v>
      </c>
      <c r="S89" s="76" t="s"/>
      <c r="T89" s="50" t="s"/>
      <c r="U89" s="48" t="s"/>
      <c r="V89" s="4" t="s"/>
      <c r="W89" s="94" t="s"/>
      <c r="X89" s="95" t="s"/>
    </row>
    <row r="90" spans="1:24">
      <c r="A90" s="4" t="s"/>
      <c r="B90" s="77">
        <v>10.85</v>
      </c>
      <c r="C90" s="4">
        <v>1000</v>
      </c>
      <c r="D90" s="4">
        <v>99</v>
      </c>
      <c r="E90" s="29">
        <v>25</v>
      </c>
      <c r="F90" s="46">
        <v>250</v>
      </c>
      <c r="G90" s="46">
        <v>2.6</v>
      </c>
      <c r="H90" s="46">
        <v>0.5</v>
      </c>
      <c r="I90" s="99">
        <v>327.6</v>
      </c>
      <c r="J90" s="33" t="s"/>
      <c r="K90" s="67">
        <f>=I90-J67</f>
        <v>-1.72666666666663</v>
      </c>
      <c r="L90" s="41">
        <f>=K90/J67</f>
        <v>-0.00524302111378762</v>
      </c>
      <c r="M90" s="64" t="s"/>
      <c r="N90" s="47" t="s"/>
      <c r="O90" s="68" t="s"/>
      <c r="P90" s="64" t="s"/>
      <c r="Q90" s="40" t="e">
        <f>=O90-P87</f>
        <v>#DIV/0!</v>
      </c>
      <c r="R90" s="41" t="e">
        <f>=Q90/P87</f>
        <v>#DIV/0!</v>
      </c>
      <c r="S90" s="76" t="s"/>
      <c r="T90" s="50" t="s"/>
      <c r="U90" s="48" t="s"/>
      <c r="V90" s="4" t="s"/>
      <c r="W90" s="94" t="s"/>
      <c r="X90" s="95" t="s"/>
    </row>
    <row r="91" spans="1:24">
      <c r="A91" s="4" t="s"/>
      <c r="B91" s="77">
        <v>10.85</v>
      </c>
      <c r="C91" s="4">
        <v>1000</v>
      </c>
      <c r="D91" s="4">
        <v>99</v>
      </c>
      <c r="E91" s="29">
        <v>25</v>
      </c>
      <c r="F91" s="46">
        <v>250</v>
      </c>
      <c r="G91" s="46">
        <v>2.6</v>
      </c>
      <c r="H91" s="46">
        <v>0.5</v>
      </c>
      <c r="I91" s="99">
        <v>328.4</v>
      </c>
      <c r="J91" s="33" t="s"/>
      <c r="K91" s="67">
        <f>=I91-J67</f>
        <v>-0.926666666666677</v>
      </c>
      <c r="L91" s="41">
        <f>=K91/J67</f>
        <v>-0.00281382214214866</v>
      </c>
      <c r="M91" s="64" t="s"/>
      <c r="N91" s="47" t="s"/>
      <c r="O91" s="68" t="s"/>
      <c r="P91" s="64" t="s"/>
      <c r="Q91" s="40" t="e">
        <f>=O91-P87</f>
        <v>#DIV/0!</v>
      </c>
      <c r="R91" s="41" t="e">
        <f>=Q91/P87</f>
        <v>#DIV/0!</v>
      </c>
      <c r="S91" s="76" t="s"/>
      <c r="T91" s="50" t="s"/>
      <c r="U91" s="48" t="s"/>
      <c r="V91" s="4" t="s"/>
      <c r="W91" s="94" t="s"/>
      <c r="X91" s="95" t="s"/>
    </row>
    <row r="92" spans="1:24">
      <c r="A92" s="4" t="s"/>
      <c r="B92" s="77">
        <v>10.85</v>
      </c>
      <c r="C92" s="4">
        <v>1000</v>
      </c>
      <c r="D92" s="4">
        <v>99</v>
      </c>
      <c r="E92" s="29">
        <v>25</v>
      </c>
      <c r="F92" s="46">
        <v>250</v>
      </c>
      <c r="G92" s="46">
        <v>2.6</v>
      </c>
      <c r="H92" s="46">
        <v>0.5</v>
      </c>
      <c r="I92" s="99">
        <v>330.6</v>
      </c>
      <c r="J92" s="33" t="s"/>
      <c r="K92" s="67">
        <f>=I92-J67</f>
        <v>1.27333333333337</v>
      </c>
      <c r="L92" s="41">
        <f>=K92/J67</f>
        <v>0.00386647502985901</v>
      </c>
      <c r="M92" s="64" t="s"/>
      <c r="N92" s="47" t="s"/>
      <c r="O92" s="68" t="s"/>
      <c r="P92" s="64" t="s"/>
      <c r="Q92" s="40" t="e">
        <f>=O92-P87</f>
        <v>#DIV/0!</v>
      </c>
      <c r="R92" s="41" t="e">
        <f>=Q92/P87</f>
        <v>#DIV/0!</v>
      </c>
      <c r="S92" s="52" t="s">
        <v>32</v>
      </c>
      <c r="T92" s="50" t="s"/>
      <c r="U92" s="48" t="s"/>
      <c r="V92" s="4" t="s"/>
      <c r="W92" s="94" t="s"/>
      <c r="X92" s="95" t="s"/>
    </row>
    <row r="93" spans="1:24">
      <c r="A93" s="4" t="s"/>
      <c r="B93" s="77">
        <v>10.85</v>
      </c>
      <c r="C93" s="4">
        <v>1000</v>
      </c>
      <c r="D93" s="4">
        <v>99</v>
      </c>
      <c r="E93" s="29">
        <v>25</v>
      </c>
      <c r="F93" s="46">
        <v>250</v>
      </c>
      <c r="G93" s="46">
        <v>2.6</v>
      </c>
      <c r="H93" s="46">
        <v>0.5</v>
      </c>
      <c r="I93" s="99">
        <v>330.5</v>
      </c>
      <c r="J93" s="33" t="s"/>
      <c r="K93" s="67">
        <f>=I93-J67</f>
        <v>1.17333333333335</v>
      </c>
      <c r="L93" s="41">
        <f>=K93/J67</f>
        <v>0.00356282515840406</v>
      </c>
      <c r="M93" s="64" t="s"/>
      <c r="N93" s="47" t="s"/>
      <c r="O93" s="68" t="s"/>
      <c r="P93" s="64" t="s"/>
      <c r="Q93" s="40" t="e">
        <f>=O93-P87</f>
        <v>#DIV/0!</v>
      </c>
      <c r="R93" s="41" t="e">
        <f>=Q93/P87</f>
        <v>#DIV/0!</v>
      </c>
      <c r="S93" s="53" t="s"/>
      <c r="T93" s="50" t="s"/>
      <c r="U93" s="48" t="s"/>
      <c r="V93" s="4" t="s"/>
      <c r="W93" s="94" t="s"/>
      <c r="X93" s="95" t="s"/>
    </row>
    <row r="94" spans="1:24">
      <c r="A94" s="4" t="s"/>
      <c r="B94" s="77">
        <v>10.85</v>
      </c>
      <c r="C94" s="4">
        <v>1000</v>
      </c>
      <c r="D94" s="4">
        <v>99</v>
      </c>
      <c r="E94" s="29">
        <v>25</v>
      </c>
      <c r="F94" s="46">
        <v>250</v>
      </c>
      <c r="G94" s="46">
        <v>2.6</v>
      </c>
      <c r="H94" s="46">
        <v>0.5</v>
      </c>
      <c r="I94" s="99">
        <v>330.5</v>
      </c>
      <c r="J94" s="33" t="s"/>
      <c r="K94" s="67">
        <f>=I94-J67</f>
        <v>1.17333333333335</v>
      </c>
      <c r="L94" s="41">
        <f>=K94/J67</f>
        <v>0.00356282515840406</v>
      </c>
      <c r="M94" s="64" t="s"/>
      <c r="N94" s="47" t="s"/>
      <c r="O94" s="68" t="s"/>
      <c r="P94" s="64" t="s"/>
      <c r="Q94" s="40" t="e">
        <f>=O94-P87</f>
        <v>#DIV/0!</v>
      </c>
      <c r="R94" s="41" t="e">
        <f>=Q94/P87</f>
        <v>#DIV/0!</v>
      </c>
      <c r="S94" s="53" t="s"/>
      <c r="T94" s="50" t="s"/>
      <c r="U94" s="48" t="s"/>
      <c r="V94" s="4" t="s"/>
      <c r="W94" s="94" t="s"/>
      <c r="X94" s="95" t="s"/>
    </row>
    <row r="95" spans="1:24">
      <c r="A95" s="4" t="s"/>
      <c r="B95" s="77">
        <v>10.85</v>
      </c>
      <c r="C95" s="4">
        <v>1000</v>
      </c>
      <c r="D95" s="4">
        <v>99</v>
      </c>
      <c r="E95" s="29">
        <v>25</v>
      </c>
      <c r="F95" s="46">
        <v>250</v>
      </c>
      <c r="G95" s="46">
        <v>2.6</v>
      </c>
      <c r="H95" s="46">
        <v>0.5</v>
      </c>
      <c r="I95" s="99">
        <v>329.3</v>
      </c>
      <c r="J95" s="33" t="s"/>
      <c r="K95" s="67">
        <f>=I95-J67</f>
        <v>-0.0266666666666424</v>
      </c>
      <c r="L95" s="41">
        <f>=K95/J67</f>
        <v>-0.0000809732990545631</v>
      </c>
      <c r="M95" s="64" t="s"/>
      <c r="N95" s="47" t="s"/>
      <c r="O95" s="68" t="s"/>
      <c r="P95" s="64" t="s"/>
      <c r="Q95" s="40" t="e">
        <f>=O95-P87</f>
        <v>#DIV/0!</v>
      </c>
      <c r="R95" s="41" t="e">
        <f>=Q95/P87</f>
        <v>#DIV/0!</v>
      </c>
      <c r="S95" s="53" t="s"/>
      <c r="T95" s="50" t="s"/>
      <c r="U95" s="48" t="s"/>
      <c r="V95" s="4" t="s"/>
      <c r="W95" s="94" t="s"/>
      <c r="X95" s="95" t="s"/>
    </row>
    <row r="96" spans="1:24">
      <c r="A96" s="4" t="s"/>
      <c r="B96" s="77">
        <v>10.85</v>
      </c>
      <c r="C96" s="4">
        <v>1000</v>
      </c>
      <c r="D96" s="4">
        <v>99</v>
      </c>
      <c r="E96" s="29">
        <v>25</v>
      </c>
      <c r="F96" s="46">
        <v>250</v>
      </c>
      <c r="G96" s="46">
        <v>2.6</v>
      </c>
      <c r="H96" s="46">
        <v>0.5</v>
      </c>
      <c r="I96" s="99">
        <v>334.3</v>
      </c>
      <c r="J96" s="33" t="s"/>
      <c r="K96" s="67">
        <f>=I96-J67</f>
        <v>4.97333333333336</v>
      </c>
      <c r="L96" s="41">
        <f>=K96/J67</f>
        <v>0.0151015202736898</v>
      </c>
      <c r="M96" s="70" t="s"/>
      <c r="N96" s="71" t="s"/>
      <c r="O96" s="68" t="s"/>
      <c r="P96" s="70" t="s"/>
      <c r="Q96" s="40" t="e">
        <f>=O96-P87</f>
        <v>#DIV/0!</v>
      </c>
      <c r="R96" s="41" t="e">
        <f>=Q96/P87</f>
        <v>#DIV/0!</v>
      </c>
      <c r="S96" s="55" t="s"/>
      <c r="T96" s="56" t="s"/>
      <c r="U96" s="19" t="s"/>
      <c r="V96" s="4" t="s"/>
      <c r="W96" s="96" t="s"/>
      <c r="X96" s="97" t="s"/>
    </row>
    <row r="98" spans="1:24">
      <c r="A98" s="27" t="s"/>
      <c r="B98" s="28">
        <v>10.85</v>
      </c>
      <c r="C98" s="4">
        <v>1000</v>
      </c>
      <c r="D98" s="4">
        <v>99</v>
      </c>
      <c r="E98" s="29">
        <v>30</v>
      </c>
      <c r="F98" s="30">
        <v>250</v>
      </c>
      <c r="G98" s="30">
        <v>2.6</v>
      </c>
      <c r="H98" s="30">
        <v>0.5</v>
      </c>
      <c r="I98" s="99">
        <v>328.9</v>
      </c>
      <c r="J98" s="33">
        <f>=AVERAGE(I98:I127)</f>
        <v>331.27</v>
      </c>
      <c r="K98" s="34">
        <f>=I98-J98</f>
        <v>-2.37000000000006</v>
      </c>
      <c r="L98" s="35">
        <f>=K98/J98</f>
        <v>-0.00715428502430061</v>
      </c>
      <c r="M98" s="74" t="s"/>
      <c r="N98" s="37" t="e">
        <f>=AVERAGE(M98:M112)</f>
        <v>#DIV/0!</v>
      </c>
      <c r="O98" s="84" t="s"/>
      <c r="P98" s="39" t="e">
        <f>=AVERAGE(O98:O107)</f>
        <v>#DIV/0!</v>
      </c>
      <c r="Q98" s="40" t="e">
        <f>=O98-P98</f>
        <v>#DIV/0!</v>
      </c>
      <c r="R98" s="41" t="e">
        <f>=Q98/P98</f>
        <v>#DIV/0!</v>
      </c>
      <c r="S98" s="76" t="s"/>
      <c r="T98" s="43" t="e">
        <f>=AVERAGE(S98:S102)</f>
        <v>#DIV/0!</v>
      </c>
      <c r="U98" s="44" t="e">
        <f>=((T98+T108+T118)/3)/N98</f>
        <v>#DIV/0!</v>
      </c>
      <c r="V98" s="45" t="s"/>
      <c r="W98" s="90" t="s">
        <v>42</v>
      </c>
      <c r="X98" s="93" t="s"/>
    </row>
    <row r="99" spans="1:24">
      <c r="A99" s="27" t="s"/>
      <c r="B99" s="77">
        <v>10.85</v>
      </c>
      <c r="C99" s="4">
        <v>1000</v>
      </c>
      <c r="D99" s="4">
        <v>99</v>
      </c>
      <c r="E99" s="29">
        <v>30</v>
      </c>
      <c r="F99" s="46">
        <v>250</v>
      </c>
      <c r="G99" s="46">
        <v>2.6</v>
      </c>
      <c r="H99" s="46">
        <v>0.5</v>
      </c>
      <c r="I99" s="99">
        <v>332.9</v>
      </c>
      <c r="J99" s="33" t="s"/>
      <c r="K99" s="34">
        <f>=I99-J98</f>
        <v>1.62999999999994</v>
      </c>
      <c r="L99" s="35">
        <f>=K99/J98</f>
        <v>0.00492045763274652</v>
      </c>
      <c r="M99" s="74" t="s"/>
      <c r="N99" s="47" t="s"/>
      <c r="O99" s="84" t="s"/>
      <c r="P99" s="48" t="s"/>
      <c r="Q99" s="40" t="e">
        <f>=O99-P98</f>
        <v>#DIV/0!</v>
      </c>
      <c r="R99" s="41" t="e">
        <f>=Q99/P98</f>
        <v>#DIV/0!</v>
      </c>
      <c r="S99" s="76" t="s"/>
      <c r="T99" s="50" t="s"/>
      <c r="U99" s="48" t="s"/>
      <c r="V99" s="4" t="s"/>
      <c r="W99" s="94" t="s"/>
      <c r="X99" s="95" t="s"/>
    </row>
    <row r="100" spans="1:24">
      <c r="A100" s="27" t="s"/>
      <c r="B100" s="77">
        <v>10.85</v>
      </c>
      <c r="C100" s="4">
        <v>1000</v>
      </c>
      <c r="D100" s="4">
        <v>99</v>
      </c>
      <c r="E100" s="29">
        <v>30</v>
      </c>
      <c r="F100" s="46">
        <v>250</v>
      </c>
      <c r="G100" s="46">
        <v>2.6</v>
      </c>
      <c r="H100" s="46">
        <v>0.5</v>
      </c>
      <c r="I100" s="99">
        <v>331.1</v>
      </c>
      <c r="J100" s="33" t="s"/>
      <c r="K100" s="34">
        <f>=I100-J98</f>
        <v>-0.170000000000016</v>
      </c>
      <c r="L100" s="35">
        <f>=K100/J98</f>
        <v>-0.000513176562924551</v>
      </c>
      <c r="M100" s="74" t="s"/>
      <c r="N100" s="47" t="s"/>
      <c r="O100" s="84" t="s"/>
      <c r="P100" s="48" t="s"/>
      <c r="Q100" s="40" t="e">
        <f>=O100-P98</f>
        <v>#DIV/0!</v>
      </c>
      <c r="R100" s="41" t="e">
        <f>=Q100/P98</f>
        <v>#DIV/0!</v>
      </c>
      <c r="S100" s="76" t="s"/>
      <c r="T100" s="50" t="s"/>
      <c r="U100" s="48" t="s"/>
      <c r="V100" s="4" t="s"/>
      <c r="W100" s="94" t="s"/>
      <c r="X100" s="95" t="s"/>
    </row>
    <row r="101" spans="1:24">
      <c r="A101" s="27" t="s"/>
      <c r="B101" s="77">
        <v>10.85</v>
      </c>
      <c r="C101" s="4">
        <v>1000</v>
      </c>
      <c r="D101" s="4">
        <v>99</v>
      </c>
      <c r="E101" s="29">
        <v>30</v>
      </c>
      <c r="F101" s="46">
        <v>250</v>
      </c>
      <c r="G101" s="46">
        <v>2.6</v>
      </c>
      <c r="H101" s="46">
        <v>0.5</v>
      </c>
      <c r="I101" s="99">
        <v>329.4</v>
      </c>
      <c r="J101" s="33" t="s"/>
      <c r="K101" s="34">
        <f>=I101-J98</f>
        <v>-1.87000000000006</v>
      </c>
      <c r="L101" s="35">
        <f>=K101/J98</f>
        <v>-0.00564494219216972</v>
      </c>
      <c r="M101" s="74" t="s"/>
      <c r="N101" s="47" t="s"/>
      <c r="O101" s="84" t="s"/>
      <c r="P101" s="48" t="s"/>
      <c r="Q101" s="40" t="e">
        <f>=O101-P98</f>
        <v>#DIV/0!</v>
      </c>
      <c r="R101" s="41" t="e">
        <f>=Q101/P98</f>
        <v>#DIV/0!</v>
      </c>
      <c r="S101" s="76" t="s"/>
      <c r="T101" s="50" t="s"/>
      <c r="U101" s="48" t="s"/>
      <c r="V101" s="4" t="s"/>
      <c r="W101" s="94" t="s"/>
      <c r="X101" s="95" t="s"/>
    </row>
    <row r="102" spans="1:24">
      <c r="A102" s="27" t="s"/>
      <c r="B102" s="77">
        <v>10.85</v>
      </c>
      <c r="C102" s="4">
        <v>1000</v>
      </c>
      <c r="D102" s="4">
        <v>99</v>
      </c>
      <c r="E102" s="29">
        <v>30</v>
      </c>
      <c r="F102" s="46">
        <v>250</v>
      </c>
      <c r="G102" s="46">
        <v>2.6</v>
      </c>
      <c r="H102" s="46">
        <v>0.5</v>
      </c>
      <c r="I102" s="99">
        <v>328.8</v>
      </c>
      <c r="J102" s="33" t="s"/>
      <c r="K102" s="34">
        <f>=I102-J98</f>
        <v>-2.47000000000003</v>
      </c>
      <c r="L102" s="35">
        <f>=K102/J98</f>
        <v>-0.00745615359072668</v>
      </c>
      <c r="M102" s="74" t="s"/>
      <c r="N102" s="47" t="s"/>
      <c r="O102" s="84" t="s"/>
      <c r="P102" s="48" t="s"/>
      <c r="Q102" s="40" t="e">
        <f>=O102-P98</f>
        <v>#DIV/0!</v>
      </c>
      <c r="R102" s="41" t="e">
        <f>=Q102/P98</f>
        <v>#DIV/0!</v>
      </c>
      <c r="S102" s="76" t="s"/>
      <c r="T102" s="50" t="s"/>
      <c r="U102" s="48" t="s"/>
      <c r="V102" s="4" t="s"/>
      <c r="W102" s="94" t="s"/>
      <c r="X102" s="95" t="s"/>
    </row>
    <row r="103" spans="1:24">
      <c r="A103" s="27" t="s"/>
      <c r="B103" s="77">
        <v>10.85</v>
      </c>
      <c r="C103" s="4">
        <v>1000</v>
      </c>
      <c r="D103" s="4">
        <v>99</v>
      </c>
      <c r="E103" s="29">
        <v>30</v>
      </c>
      <c r="F103" s="46">
        <v>250</v>
      </c>
      <c r="G103" s="46">
        <v>2.6</v>
      </c>
      <c r="H103" s="46">
        <v>0.5</v>
      </c>
      <c r="I103" s="99">
        <v>328</v>
      </c>
      <c r="J103" s="33" t="s"/>
      <c r="K103" s="34">
        <f>=I103-J98</f>
        <v>-3.27000000000004</v>
      </c>
      <c r="L103" s="35">
        <f>=K103/J98</f>
        <v>-0.00987110212213614</v>
      </c>
      <c r="M103" s="74" t="s"/>
      <c r="N103" s="47" t="s"/>
      <c r="O103" s="84" t="s"/>
      <c r="P103" s="48" t="s"/>
      <c r="Q103" s="40" t="e">
        <f>=O103-P98</f>
        <v>#DIV/0!</v>
      </c>
      <c r="R103" s="41" t="e">
        <f>=Q103/P98</f>
        <v>#DIV/0!</v>
      </c>
      <c r="S103" s="52" t="s">
        <v>32</v>
      </c>
      <c r="T103" s="50" t="s"/>
      <c r="U103" s="48" t="s"/>
      <c r="V103" s="4" t="s"/>
      <c r="W103" s="94" t="s"/>
      <c r="X103" s="95" t="s"/>
    </row>
    <row r="104" spans="1:24">
      <c r="A104" s="27" t="s"/>
      <c r="B104" s="77">
        <v>10.85</v>
      </c>
      <c r="C104" s="4">
        <v>1000</v>
      </c>
      <c r="D104" s="4">
        <v>99</v>
      </c>
      <c r="E104" s="29">
        <v>30</v>
      </c>
      <c r="F104" s="46">
        <v>250</v>
      </c>
      <c r="G104" s="46">
        <v>2.6</v>
      </c>
      <c r="H104" s="46">
        <v>0.5</v>
      </c>
      <c r="I104" s="99">
        <v>335.2</v>
      </c>
      <c r="J104" s="33" t="s"/>
      <c r="K104" s="34">
        <f>=I104-J98</f>
        <v>3.92999999999995</v>
      </c>
      <c r="L104" s="35">
        <f>=K104/J98</f>
        <v>0.0118634346605486</v>
      </c>
      <c r="M104" s="74" t="s"/>
      <c r="N104" s="47" t="s"/>
      <c r="O104" s="84" t="s"/>
      <c r="P104" s="48" t="s"/>
      <c r="Q104" s="40" t="e">
        <f>=O104-P98</f>
        <v>#DIV/0!</v>
      </c>
      <c r="R104" s="41" t="e">
        <f>=Q104/P98</f>
        <v>#DIV/0!</v>
      </c>
      <c r="S104" s="53" t="s"/>
      <c r="T104" s="50" t="s"/>
      <c r="U104" s="48" t="s"/>
      <c r="V104" s="4" t="s"/>
      <c r="W104" s="94" t="s"/>
      <c r="X104" s="95" t="s"/>
    </row>
    <row r="105" spans="1:24">
      <c r="A105" s="4" t="s"/>
      <c r="B105" s="77">
        <v>10.85</v>
      </c>
      <c r="C105" s="4">
        <v>1000</v>
      </c>
      <c r="D105" s="4">
        <v>99</v>
      </c>
      <c r="E105" s="29">
        <v>30</v>
      </c>
      <c r="F105" s="46">
        <v>250</v>
      </c>
      <c r="G105" s="46">
        <v>2.6</v>
      </c>
      <c r="H105" s="46">
        <v>0.5</v>
      </c>
      <c r="I105" s="99">
        <v>331.6</v>
      </c>
      <c r="J105" s="33" t="s"/>
      <c r="K105" s="34">
        <f>=I105-J98</f>
        <v>0.329999999999984</v>
      </c>
      <c r="L105" s="35">
        <f>=K105/J98</f>
        <v>0.00099616626920634</v>
      </c>
      <c r="M105" s="74" t="s"/>
      <c r="N105" s="47" t="s"/>
      <c r="O105" s="84" t="s"/>
      <c r="P105" s="48" t="s"/>
      <c r="Q105" s="40" t="e">
        <f>=O105-P98</f>
        <v>#DIV/0!</v>
      </c>
      <c r="R105" s="41" t="e">
        <f>=Q105/P98</f>
        <v>#DIV/0!</v>
      </c>
      <c r="S105" s="53" t="s"/>
      <c r="T105" s="50" t="s"/>
      <c r="U105" s="48" t="s"/>
      <c r="V105" s="4" t="s"/>
      <c r="W105" s="94" t="s"/>
      <c r="X105" s="95" t="s"/>
    </row>
    <row r="106" spans="1:24">
      <c r="A106" s="4" t="s"/>
      <c r="B106" s="77">
        <v>10.85</v>
      </c>
      <c r="C106" s="4">
        <v>1000</v>
      </c>
      <c r="D106" s="4">
        <v>99</v>
      </c>
      <c r="E106" s="29">
        <v>30</v>
      </c>
      <c r="F106" s="46">
        <v>250</v>
      </c>
      <c r="G106" s="46">
        <v>2.6</v>
      </c>
      <c r="H106" s="46">
        <v>0.5</v>
      </c>
      <c r="I106" s="99">
        <v>337</v>
      </c>
      <c r="J106" s="33" t="s"/>
      <c r="K106" s="34">
        <f>=I106-J98</f>
        <v>5.72999999999996</v>
      </c>
      <c r="L106" s="35">
        <f>=K106/J98</f>
        <v>0.0172970688562199</v>
      </c>
      <c r="M106" s="74" t="s"/>
      <c r="N106" s="47" t="s"/>
      <c r="O106" s="84" t="s"/>
      <c r="P106" s="48" t="s"/>
      <c r="Q106" s="40" t="e">
        <f>=O106-P98</f>
        <v>#DIV/0!</v>
      </c>
      <c r="R106" s="41" t="e">
        <f>=Q106/P98</f>
        <v>#DIV/0!</v>
      </c>
      <c r="S106" s="53" t="s"/>
      <c r="T106" s="50" t="s"/>
      <c r="U106" s="48" t="s"/>
      <c r="V106" s="4" t="s"/>
      <c r="W106" s="94" t="s"/>
      <c r="X106" s="95" t="s"/>
    </row>
    <row r="107" spans="1:24">
      <c r="A107" s="4" t="s"/>
      <c r="B107" s="77">
        <v>10.85</v>
      </c>
      <c r="C107" s="4">
        <v>1000</v>
      </c>
      <c r="D107" s="4">
        <v>99</v>
      </c>
      <c r="E107" s="29">
        <v>30</v>
      </c>
      <c r="F107" s="46">
        <v>250</v>
      </c>
      <c r="G107" s="46">
        <v>2.6</v>
      </c>
      <c r="H107" s="46">
        <v>0.5</v>
      </c>
      <c r="I107" s="99">
        <v>325.9</v>
      </c>
      <c r="J107" s="33" t="s"/>
      <c r="K107" s="34">
        <f>=I107-J98</f>
        <v>-5.37000000000006</v>
      </c>
      <c r="L107" s="35">
        <f>=K107/J98</f>
        <v>-0.0162103420170859</v>
      </c>
      <c r="M107" s="74" t="s"/>
      <c r="N107" s="47" t="s"/>
      <c r="O107" s="84" t="s"/>
      <c r="P107" s="19" t="s"/>
      <c r="Q107" s="40" t="e">
        <f>=O107-P98</f>
        <v>#DIV/0!</v>
      </c>
      <c r="R107" s="41" t="e">
        <f>=Q107/P98</f>
        <v>#DIV/0!</v>
      </c>
      <c r="S107" s="55" t="s"/>
      <c r="T107" s="56" t="s"/>
      <c r="U107" s="48" t="s"/>
      <c r="V107" s="4" t="s"/>
      <c r="W107" s="94" t="s"/>
      <c r="X107" s="95" t="s"/>
    </row>
    <row r="108" spans="1:24">
      <c r="A108" s="4" t="s"/>
      <c r="B108" s="77">
        <v>10.85</v>
      </c>
      <c r="C108" s="4">
        <v>1000</v>
      </c>
      <c r="D108" s="4">
        <v>99</v>
      </c>
      <c r="E108" s="29">
        <v>30</v>
      </c>
      <c r="F108" s="46">
        <v>250</v>
      </c>
      <c r="G108" s="46">
        <v>2.6</v>
      </c>
      <c r="H108" s="46">
        <v>0.5</v>
      </c>
      <c r="I108" s="99">
        <v>332.6</v>
      </c>
      <c r="J108" s="33" t="s"/>
      <c r="K108" s="57">
        <f>=I108-J98</f>
        <v>1.32999999999998</v>
      </c>
      <c r="L108" s="58">
        <f>=K108/J98</f>
        <v>0.00401485193346812</v>
      </c>
      <c r="M108" s="74" t="s"/>
      <c r="N108" s="47" t="s"/>
      <c r="O108" s="85" t="s"/>
      <c r="P108" s="60" t="e">
        <f>=AVERAGE(O108:O117)</f>
        <v>#DIV/0!</v>
      </c>
      <c r="Q108" s="40" t="e">
        <f>=O108-P108</f>
        <v>#DIV/0!</v>
      </c>
      <c r="R108" s="41" t="e">
        <f>=Q108/P108</f>
        <v>#DIV/0!</v>
      </c>
      <c r="S108" s="76" t="s"/>
      <c r="T108" s="43" t="e">
        <f>=AVERAGE(S108:S112)</f>
        <v>#DIV/0!</v>
      </c>
      <c r="U108" s="48" t="s"/>
      <c r="V108" s="4" t="s"/>
      <c r="W108" s="94" t="s"/>
      <c r="X108" s="95" t="s"/>
    </row>
    <row r="109" spans="1:24">
      <c r="A109" s="4" t="s"/>
      <c r="B109" s="77">
        <v>10.85</v>
      </c>
      <c r="C109" s="4">
        <v>1000</v>
      </c>
      <c r="D109" s="4">
        <v>99</v>
      </c>
      <c r="E109" s="29">
        <v>30</v>
      </c>
      <c r="F109" s="46">
        <v>250</v>
      </c>
      <c r="G109" s="46">
        <v>2.6</v>
      </c>
      <c r="H109" s="46">
        <v>0.5</v>
      </c>
      <c r="I109" s="99">
        <v>331.3</v>
      </c>
      <c r="J109" s="33" t="s"/>
      <c r="K109" s="57">
        <f>=I109-J98</f>
        <v>0.0299999999999727</v>
      </c>
      <c r="L109" s="58">
        <f>=K109/J98</f>
        <v>0.0000905605699277711</v>
      </c>
      <c r="M109" s="74" t="s"/>
      <c r="N109" s="47" t="s"/>
      <c r="O109" s="85" t="s"/>
      <c r="P109" s="61" t="s"/>
      <c r="Q109" s="40" t="e">
        <f>=O109-P108</f>
        <v>#DIV/0!</v>
      </c>
      <c r="R109" s="41" t="e">
        <f>=Q109/P108</f>
        <v>#DIV/0!</v>
      </c>
      <c r="S109" s="76" t="s"/>
      <c r="T109" s="50" t="s"/>
      <c r="U109" s="48" t="s"/>
      <c r="V109" s="4" t="s"/>
      <c r="W109" s="94" t="s"/>
      <c r="X109" s="95" t="s"/>
    </row>
    <row r="110" spans="1:24">
      <c r="A110" s="4" t="s"/>
      <c r="B110" s="77">
        <v>10.85</v>
      </c>
      <c r="C110" s="4">
        <v>1000</v>
      </c>
      <c r="D110" s="4">
        <v>99</v>
      </c>
      <c r="E110" s="29">
        <v>30</v>
      </c>
      <c r="F110" s="46">
        <v>250</v>
      </c>
      <c r="G110" s="46">
        <v>2.6</v>
      </c>
      <c r="H110" s="46">
        <v>0.5</v>
      </c>
      <c r="I110" s="99">
        <v>326.6</v>
      </c>
      <c r="J110" s="33" t="s"/>
      <c r="K110" s="57">
        <f>=I110-J98</f>
        <v>-4.67000000000002</v>
      </c>
      <c r="L110" s="58">
        <f>=K110/J98</f>
        <v>-0.0140972620521026</v>
      </c>
      <c r="M110" s="74" t="s"/>
      <c r="N110" s="47" t="s"/>
      <c r="O110" s="85" t="s"/>
      <c r="P110" s="61" t="s"/>
      <c r="Q110" s="40" t="e">
        <f>=O110-P108</f>
        <v>#DIV/0!</v>
      </c>
      <c r="R110" s="41" t="e">
        <f>=Q110/P108</f>
        <v>#DIV/0!</v>
      </c>
      <c r="S110" s="76" t="s"/>
      <c r="T110" s="50" t="s"/>
      <c r="U110" s="48" t="s"/>
      <c r="V110" s="4" t="s"/>
      <c r="W110" s="94" t="s"/>
      <c r="X110" s="95" t="s"/>
    </row>
    <row r="111" spans="1:24">
      <c r="A111" s="4" t="s"/>
      <c r="B111" s="77">
        <v>10.85</v>
      </c>
      <c r="C111" s="4">
        <v>1000</v>
      </c>
      <c r="D111" s="4">
        <v>99</v>
      </c>
      <c r="E111" s="29">
        <v>30</v>
      </c>
      <c r="F111" s="46">
        <v>250</v>
      </c>
      <c r="G111" s="46">
        <v>2.6</v>
      </c>
      <c r="H111" s="46">
        <v>0.5</v>
      </c>
      <c r="I111" s="99">
        <v>339.5</v>
      </c>
      <c r="J111" s="33" t="s"/>
      <c r="K111" s="57">
        <f>=I111-J98</f>
        <v>8.22999999999996</v>
      </c>
      <c r="L111" s="58">
        <f>=K111/J98</f>
        <v>0.0248437830168743</v>
      </c>
      <c r="M111" s="74" t="s"/>
      <c r="N111" s="47" t="s"/>
      <c r="O111" s="85" t="s"/>
      <c r="P111" s="61" t="s"/>
      <c r="Q111" s="40" t="e">
        <f>=O111-P108</f>
        <v>#DIV/0!</v>
      </c>
      <c r="R111" s="41" t="e">
        <f>=Q111/P108</f>
        <v>#DIV/0!</v>
      </c>
      <c r="S111" s="76" t="s"/>
      <c r="T111" s="50" t="s"/>
      <c r="U111" s="48" t="s"/>
      <c r="V111" s="4" t="s"/>
      <c r="W111" s="94" t="s"/>
      <c r="X111" s="95" t="s"/>
    </row>
    <row r="112" spans="1:24">
      <c r="A112" s="4" t="s"/>
      <c r="B112" s="77">
        <v>10.85</v>
      </c>
      <c r="C112" s="4">
        <v>1000</v>
      </c>
      <c r="D112" s="4">
        <v>99</v>
      </c>
      <c r="E112" s="29">
        <v>30</v>
      </c>
      <c r="F112" s="46">
        <v>250</v>
      </c>
      <c r="G112" s="46">
        <v>2.6</v>
      </c>
      <c r="H112" s="46">
        <v>0.5</v>
      </c>
      <c r="I112" s="99">
        <v>322.8</v>
      </c>
      <c r="J112" s="33" t="s"/>
      <c r="K112" s="57">
        <f>=I112-J98</f>
        <v>-8.47000000000003</v>
      </c>
      <c r="L112" s="58">
        <f>=K112/J98</f>
        <v>-0.0255682675762974</v>
      </c>
      <c r="M112" s="74" t="s"/>
      <c r="N112" s="47" t="s"/>
      <c r="O112" s="85" t="s"/>
      <c r="P112" s="61" t="s"/>
      <c r="Q112" s="40" t="e">
        <f>=O112-P108</f>
        <v>#DIV/0!</v>
      </c>
      <c r="R112" s="41" t="e">
        <f>=Q112/P108</f>
        <v>#DIV/0!</v>
      </c>
      <c r="S112" s="76" t="s"/>
      <c r="T112" s="50" t="s"/>
      <c r="U112" s="48" t="s"/>
      <c r="V112" s="4" t="s"/>
      <c r="W112" s="94" t="s"/>
      <c r="X112" s="95" t="s"/>
    </row>
    <row r="113" spans="1:24">
      <c r="A113" s="4" t="s"/>
      <c r="B113" s="77">
        <v>10.85</v>
      </c>
      <c r="C113" s="4">
        <v>1000</v>
      </c>
      <c r="D113" s="4">
        <v>99</v>
      </c>
      <c r="E113" s="29">
        <v>30</v>
      </c>
      <c r="F113" s="46">
        <v>250</v>
      </c>
      <c r="G113" s="46">
        <v>2.6</v>
      </c>
      <c r="H113" s="46">
        <v>0.5</v>
      </c>
      <c r="I113" s="99">
        <v>330.2</v>
      </c>
      <c r="J113" s="33" t="s"/>
      <c r="K113" s="57">
        <f>=I113-J98</f>
        <v>-1.07000000000005</v>
      </c>
      <c r="L113" s="58">
        <f>=K113/J98</f>
        <v>-0.00322999366076026</v>
      </c>
      <c r="M113" s="62" t="s">
        <v>32</v>
      </c>
      <c r="N113" s="47" t="s"/>
      <c r="O113" s="85" t="s"/>
      <c r="P113" s="61" t="s"/>
      <c r="Q113" s="40" t="e">
        <f>=O113-P108</f>
        <v>#DIV/0!</v>
      </c>
      <c r="R113" s="41" t="e">
        <f>=Q113/P108</f>
        <v>#DIV/0!</v>
      </c>
      <c r="S113" s="52" t="s">
        <v>32</v>
      </c>
      <c r="T113" s="50" t="s"/>
      <c r="U113" s="48" t="s"/>
      <c r="V113" s="4" t="s"/>
      <c r="W113" s="94" t="s"/>
      <c r="X113" s="95" t="s"/>
    </row>
    <row r="114" spans="1:24">
      <c r="A114" s="4" t="s"/>
      <c r="B114" s="77">
        <v>10.85</v>
      </c>
      <c r="C114" s="4">
        <v>1000</v>
      </c>
      <c r="D114" s="4">
        <v>99</v>
      </c>
      <c r="E114" s="29">
        <v>30</v>
      </c>
      <c r="F114" s="46">
        <v>250</v>
      </c>
      <c r="G114" s="46">
        <v>2.6</v>
      </c>
      <c r="H114" s="46">
        <v>0.5</v>
      </c>
      <c r="I114" s="99">
        <v>328.4</v>
      </c>
      <c r="J114" s="33" t="s"/>
      <c r="K114" s="57">
        <f>=I114-J98</f>
        <v>-2.87000000000006</v>
      </c>
      <c r="L114" s="58">
        <f>=K114/J98</f>
        <v>-0.0086636278564315</v>
      </c>
      <c r="M114" s="64" t="s"/>
      <c r="N114" s="47" t="s"/>
      <c r="O114" s="85" t="s"/>
      <c r="P114" s="61" t="s"/>
      <c r="Q114" s="40" t="e">
        <f>=O114-P108</f>
        <v>#DIV/0!</v>
      </c>
      <c r="R114" s="41" t="e">
        <f>=Q114/P108</f>
        <v>#DIV/0!</v>
      </c>
      <c r="S114" s="53" t="s"/>
      <c r="T114" s="50" t="s"/>
      <c r="U114" s="48" t="s"/>
      <c r="V114" s="4" t="s"/>
      <c r="W114" s="94" t="s"/>
      <c r="X114" s="95" t="s"/>
    </row>
    <row r="115" spans="1:24">
      <c r="A115" s="4" t="s"/>
      <c r="B115" s="77">
        <v>10.85</v>
      </c>
      <c r="C115" s="4">
        <v>1000</v>
      </c>
      <c r="D115" s="4">
        <v>99</v>
      </c>
      <c r="E115" s="29">
        <v>30</v>
      </c>
      <c r="F115" s="46">
        <v>250</v>
      </c>
      <c r="G115" s="46">
        <v>2.6</v>
      </c>
      <c r="H115" s="46">
        <v>0.5</v>
      </c>
      <c r="I115" s="99">
        <v>333.5</v>
      </c>
      <c r="J115" s="33" t="s"/>
      <c r="K115" s="57">
        <f>=I115-J98</f>
        <v>2.22999999999996</v>
      </c>
      <c r="L115" s="58">
        <f>=K115/J98</f>
        <v>0.00673166903130365</v>
      </c>
      <c r="M115" s="64" t="s"/>
      <c r="N115" s="47" t="s"/>
      <c r="O115" s="85" t="s"/>
      <c r="P115" s="61" t="s"/>
      <c r="Q115" s="40" t="e">
        <f>=O115-P108</f>
        <v>#DIV/0!</v>
      </c>
      <c r="R115" s="41" t="e">
        <f>=Q115/P108</f>
        <v>#DIV/0!</v>
      </c>
      <c r="S115" s="53" t="s"/>
      <c r="T115" s="50" t="s"/>
      <c r="U115" s="48" t="s"/>
      <c r="V115" s="4" t="s"/>
      <c r="W115" s="94" t="s"/>
      <c r="X115" s="95" t="s"/>
    </row>
    <row r="116" spans="1:24">
      <c r="A116" s="4" t="s"/>
      <c r="B116" s="77">
        <v>10.85</v>
      </c>
      <c r="C116" s="4">
        <v>1000</v>
      </c>
      <c r="D116" s="4">
        <v>99</v>
      </c>
      <c r="E116" s="29">
        <v>30</v>
      </c>
      <c r="F116" s="46">
        <v>250</v>
      </c>
      <c r="G116" s="46">
        <v>2.6</v>
      </c>
      <c r="H116" s="46">
        <v>0.5</v>
      </c>
      <c r="I116" s="99">
        <v>338.9</v>
      </c>
      <c r="J116" s="33" t="s"/>
      <c r="K116" s="57">
        <f>=I116-J98</f>
        <v>7.62999999999994</v>
      </c>
      <c r="L116" s="58">
        <f>=K116/J98</f>
        <v>0.0230325716183172</v>
      </c>
      <c r="M116" s="64" t="s"/>
      <c r="N116" s="47" t="s"/>
      <c r="O116" s="85" t="s"/>
      <c r="P116" s="61" t="s"/>
      <c r="Q116" s="40" t="e">
        <f>=O116-P108</f>
        <v>#DIV/0!</v>
      </c>
      <c r="R116" s="41" t="e">
        <f>=Q116/P108</f>
        <v>#DIV/0!</v>
      </c>
      <c r="S116" s="53" t="s"/>
      <c r="T116" s="50" t="s"/>
      <c r="U116" s="48" t="s"/>
      <c r="V116" s="4" t="s"/>
      <c r="W116" s="94" t="s"/>
      <c r="X116" s="95" t="s"/>
    </row>
    <row r="117" spans="1:24">
      <c r="A117" s="4" t="s"/>
      <c r="B117" s="77">
        <v>10.85</v>
      </c>
      <c r="C117" s="4">
        <v>1000</v>
      </c>
      <c r="D117" s="4">
        <v>99</v>
      </c>
      <c r="E117" s="29">
        <v>30</v>
      </c>
      <c r="F117" s="46">
        <v>250</v>
      </c>
      <c r="G117" s="46">
        <v>2.6</v>
      </c>
      <c r="H117" s="46">
        <v>0.5</v>
      </c>
      <c r="I117" s="99">
        <v>334.3</v>
      </c>
      <c r="J117" s="33" t="s"/>
      <c r="K117" s="57">
        <f>=I117-J98</f>
        <v>3.02999999999997</v>
      </c>
      <c r="L117" s="58">
        <f>=K117/J98</f>
        <v>0.00914661756271311</v>
      </c>
      <c r="M117" s="64" t="s"/>
      <c r="N117" s="47" t="s"/>
      <c r="O117" s="85" t="s"/>
      <c r="P117" s="66" t="s"/>
      <c r="Q117" s="40" t="e">
        <f>=O117-P108</f>
        <v>#DIV/0!</v>
      </c>
      <c r="R117" s="41" t="e">
        <f>=Q117/P108</f>
        <v>#DIV/0!</v>
      </c>
      <c r="S117" s="55" t="s"/>
      <c r="T117" s="56" t="s"/>
      <c r="U117" s="48" t="s"/>
      <c r="V117" s="4" t="s"/>
      <c r="W117" s="94" t="s"/>
      <c r="X117" s="95" t="s"/>
    </row>
    <row r="118" spans="1:24">
      <c r="A118" s="4" t="s"/>
      <c r="B118" s="77">
        <v>10.85</v>
      </c>
      <c r="C118" s="4">
        <v>1000</v>
      </c>
      <c r="D118" s="4">
        <v>99</v>
      </c>
      <c r="E118" s="29">
        <v>30</v>
      </c>
      <c r="F118" s="46">
        <v>250</v>
      </c>
      <c r="G118" s="46">
        <v>2.6</v>
      </c>
      <c r="H118" s="46">
        <v>0.5</v>
      </c>
      <c r="I118" s="99">
        <v>335.5</v>
      </c>
      <c r="J118" s="33" t="s"/>
      <c r="K118" s="67">
        <f>=I118-J98</f>
        <v>4.22999999999996</v>
      </c>
      <c r="L118" s="41">
        <f>=K118/J98</f>
        <v>0.0127690403598272</v>
      </c>
      <c r="M118" s="64" t="s"/>
      <c r="N118" s="47" t="s"/>
      <c r="O118" s="68" t="s"/>
      <c r="P118" s="69" t="e">
        <f>=AVERAGE(O118:O127)</f>
        <v>#DIV/0!</v>
      </c>
      <c r="Q118" s="40" t="e">
        <f>=O118-P118</f>
        <v>#DIV/0!</v>
      </c>
      <c r="R118" s="41" t="e">
        <f>=Q118/P118</f>
        <v>#DIV/0!</v>
      </c>
      <c r="S118" s="76" t="s"/>
      <c r="T118" s="43" t="e">
        <f>=AVERAGE(S118:S122)</f>
        <v>#DIV/0!</v>
      </c>
      <c r="U118" s="48" t="s"/>
      <c r="V118" s="4" t="s"/>
      <c r="W118" s="94" t="s"/>
      <c r="X118" s="95" t="s"/>
    </row>
    <row r="119" spans="1:24">
      <c r="A119" s="4" t="s"/>
      <c r="B119" s="77">
        <v>10.85</v>
      </c>
      <c r="C119" s="4">
        <v>1000</v>
      </c>
      <c r="D119" s="4">
        <v>99</v>
      </c>
      <c r="E119" s="29">
        <v>30</v>
      </c>
      <c r="F119" s="46">
        <v>250</v>
      </c>
      <c r="G119" s="46">
        <v>2.6</v>
      </c>
      <c r="H119" s="46">
        <v>0.5</v>
      </c>
      <c r="I119" s="99">
        <v>330.3</v>
      </c>
      <c r="J119" s="33" t="s"/>
      <c r="K119" s="67">
        <f>=I119-J98</f>
        <v>-0.970000000000027</v>
      </c>
      <c r="L119" s="41">
        <f>=K119/J98</f>
        <v>-0.00292812509433401</v>
      </c>
      <c r="M119" s="64" t="s"/>
      <c r="N119" s="47" t="s"/>
      <c r="O119" s="68" t="s"/>
      <c r="P119" s="64" t="s"/>
      <c r="Q119" s="40" t="e">
        <f>=O119-P118</f>
        <v>#DIV/0!</v>
      </c>
      <c r="R119" s="41" t="e">
        <f>=Q119/P118</f>
        <v>#DIV/0!</v>
      </c>
      <c r="S119" s="76" t="s"/>
      <c r="T119" s="50" t="s"/>
      <c r="U119" s="48" t="s"/>
      <c r="V119" s="4" t="s"/>
      <c r="W119" s="94" t="s"/>
      <c r="X119" s="95" t="s"/>
    </row>
    <row r="120" spans="1:24">
      <c r="A120" s="4" t="s"/>
      <c r="B120" s="77">
        <v>10.85</v>
      </c>
      <c r="C120" s="4">
        <v>1000</v>
      </c>
      <c r="D120" s="4">
        <v>99</v>
      </c>
      <c r="E120" s="29">
        <v>30</v>
      </c>
      <c r="F120" s="46">
        <v>250</v>
      </c>
      <c r="G120" s="46">
        <v>2.6</v>
      </c>
      <c r="H120" s="46">
        <v>0.5</v>
      </c>
      <c r="I120" s="99">
        <v>330.5</v>
      </c>
      <c r="J120" s="33" t="s"/>
      <c r="K120" s="67">
        <f>=I120-J98</f>
        <v>-0.770000000000039</v>
      </c>
      <c r="L120" s="41">
        <f>=K120/J98</f>
        <v>-0.00232438796148169</v>
      </c>
      <c r="M120" s="64" t="s"/>
      <c r="N120" s="47" t="s"/>
      <c r="O120" s="68" t="s"/>
      <c r="P120" s="64" t="s"/>
      <c r="Q120" s="40" t="e">
        <f>=O120-P118</f>
        <v>#DIV/0!</v>
      </c>
      <c r="R120" s="41" t="e">
        <f>=Q120/P118</f>
        <v>#DIV/0!</v>
      </c>
      <c r="S120" s="76" t="s"/>
      <c r="T120" s="50" t="s"/>
      <c r="U120" s="48" t="s"/>
      <c r="V120" s="4" t="s"/>
      <c r="W120" s="94" t="s"/>
      <c r="X120" s="95" t="s"/>
    </row>
    <row r="121" spans="1:24">
      <c r="A121" s="4" t="s"/>
      <c r="B121" s="77">
        <v>10.85</v>
      </c>
      <c r="C121" s="4">
        <v>1000</v>
      </c>
      <c r="D121" s="4">
        <v>99</v>
      </c>
      <c r="E121" s="29">
        <v>30</v>
      </c>
      <c r="F121" s="46">
        <v>250</v>
      </c>
      <c r="G121" s="46">
        <v>2.6</v>
      </c>
      <c r="H121" s="46">
        <v>0.5</v>
      </c>
      <c r="I121" s="99">
        <v>332.1</v>
      </c>
      <c r="J121" s="33" t="s"/>
      <c r="K121" s="67">
        <f>=I121-J98</f>
        <v>0.829999999999984</v>
      </c>
      <c r="L121" s="41">
        <f>=K121/J98</f>
        <v>0.00250550910133723</v>
      </c>
      <c r="M121" s="64" t="s"/>
      <c r="N121" s="47" t="s"/>
      <c r="O121" s="68" t="s"/>
      <c r="P121" s="64" t="s"/>
      <c r="Q121" s="40" t="e">
        <f>=O121-P118</f>
        <v>#DIV/0!</v>
      </c>
      <c r="R121" s="41" t="e">
        <f>=Q121/P118</f>
        <v>#DIV/0!</v>
      </c>
      <c r="S121" s="76" t="s"/>
      <c r="T121" s="50" t="s"/>
      <c r="U121" s="48" t="s"/>
      <c r="V121" s="4" t="s"/>
      <c r="W121" s="94" t="s"/>
      <c r="X121" s="95" t="s"/>
    </row>
    <row r="122" spans="1:24">
      <c r="A122" s="4" t="s"/>
      <c r="B122" s="77">
        <v>10.85</v>
      </c>
      <c r="C122" s="4">
        <v>1000</v>
      </c>
      <c r="D122" s="4">
        <v>99</v>
      </c>
      <c r="E122" s="29">
        <v>30</v>
      </c>
      <c r="F122" s="46">
        <v>250</v>
      </c>
      <c r="G122" s="46">
        <v>2.6</v>
      </c>
      <c r="H122" s="46">
        <v>0.5</v>
      </c>
      <c r="I122" s="99">
        <v>323.8</v>
      </c>
      <c r="J122" s="33" t="s"/>
      <c r="K122" s="67">
        <f>=I122-J98</f>
        <v>-7.47000000000003</v>
      </c>
      <c r="L122" s="41">
        <f>=K122/J98</f>
        <v>-0.0225495819120356</v>
      </c>
      <c r="M122" s="64" t="s"/>
      <c r="N122" s="47" t="s"/>
      <c r="O122" s="68" t="s"/>
      <c r="P122" s="64" t="s"/>
      <c r="Q122" s="40" t="e">
        <f>=O122-P118</f>
        <v>#DIV/0!</v>
      </c>
      <c r="R122" s="41" t="e">
        <f>=Q122/P118</f>
        <v>#DIV/0!</v>
      </c>
      <c r="S122" s="76" t="s"/>
      <c r="T122" s="50" t="s"/>
      <c r="U122" s="48" t="s"/>
      <c r="V122" s="4" t="s"/>
      <c r="W122" s="94" t="s"/>
      <c r="X122" s="95" t="s"/>
    </row>
    <row r="123" spans="1:24">
      <c r="A123" s="4" t="s"/>
      <c r="B123" s="77">
        <v>10.85</v>
      </c>
      <c r="C123" s="4">
        <v>1000</v>
      </c>
      <c r="D123" s="4">
        <v>99</v>
      </c>
      <c r="E123" s="29">
        <v>30</v>
      </c>
      <c r="F123" s="46">
        <v>250</v>
      </c>
      <c r="G123" s="46">
        <v>2.6</v>
      </c>
      <c r="H123" s="46">
        <v>0.5</v>
      </c>
      <c r="I123" s="99">
        <v>329.9</v>
      </c>
      <c r="J123" s="33" t="s"/>
      <c r="K123" s="67">
        <f>=I123-J98</f>
        <v>-1.37000000000006</v>
      </c>
      <c r="L123" s="41">
        <f>=K123/J98</f>
        <v>-0.00413559936003882</v>
      </c>
      <c r="M123" s="64" t="s"/>
      <c r="N123" s="47" t="s"/>
      <c r="O123" s="68" t="s"/>
      <c r="P123" s="64" t="s"/>
      <c r="Q123" s="40" t="e">
        <f>=O123-P118</f>
        <v>#DIV/0!</v>
      </c>
      <c r="R123" s="41" t="e">
        <f>=Q123/P118</f>
        <v>#DIV/0!</v>
      </c>
      <c r="S123" s="52" t="s">
        <v>32</v>
      </c>
      <c r="T123" s="50" t="s"/>
      <c r="U123" s="48" t="s"/>
      <c r="V123" s="4" t="s"/>
      <c r="W123" s="94" t="s"/>
      <c r="X123" s="95" t="s"/>
    </row>
    <row r="124" spans="1:24">
      <c r="A124" s="4" t="s"/>
      <c r="B124" s="77">
        <v>10.85</v>
      </c>
      <c r="C124" s="4">
        <v>1000</v>
      </c>
      <c r="D124" s="4">
        <v>99</v>
      </c>
      <c r="E124" s="29">
        <v>30</v>
      </c>
      <c r="F124" s="46">
        <v>250</v>
      </c>
      <c r="G124" s="46">
        <v>2.6</v>
      </c>
      <c r="H124" s="46">
        <v>0.5</v>
      </c>
      <c r="I124" s="99">
        <v>332.9</v>
      </c>
      <c r="J124" s="33" t="s"/>
      <c r="K124" s="67">
        <f>=I124-J98</f>
        <v>1.62999999999994</v>
      </c>
      <c r="L124" s="41">
        <f>=K124/J98</f>
        <v>0.00492045763274652</v>
      </c>
      <c r="M124" s="64" t="s"/>
      <c r="N124" s="47" t="s"/>
      <c r="O124" s="68" t="s"/>
      <c r="P124" s="64" t="s"/>
      <c r="Q124" s="40" t="e">
        <f>=O124-P118</f>
        <v>#DIV/0!</v>
      </c>
      <c r="R124" s="41" t="e">
        <f>=Q124/P118</f>
        <v>#DIV/0!</v>
      </c>
      <c r="S124" s="53" t="s"/>
      <c r="T124" s="50" t="s"/>
      <c r="U124" s="48" t="s"/>
      <c r="V124" s="4" t="s"/>
      <c r="W124" s="94" t="s"/>
      <c r="X124" s="95" t="s"/>
    </row>
    <row r="125" spans="1:24">
      <c r="A125" s="4" t="s"/>
      <c r="B125" s="77">
        <v>10.85</v>
      </c>
      <c r="C125" s="4">
        <v>1000</v>
      </c>
      <c r="D125" s="4">
        <v>99</v>
      </c>
      <c r="E125" s="29">
        <v>30</v>
      </c>
      <c r="F125" s="46">
        <v>250</v>
      </c>
      <c r="G125" s="46">
        <v>2.6</v>
      </c>
      <c r="H125" s="46">
        <v>0.5</v>
      </c>
      <c r="I125" s="99">
        <v>340</v>
      </c>
      <c r="J125" s="33" t="s"/>
      <c r="K125" s="67">
        <f>=I125-J98</f>
        <v>8.72999999999996</v>
      </c>
      <c r="L125" s="41">
        <f>=K125/J98</f>
        <v>0.0263531258490052</v>
      </c>
      <c r="M125" s="64" t="s"/>
      <c r="N125" s="47" t="s"/>
      <c r="O125" s="68" t="s"/>
      <c r="P125" s="64" t="s"/>
      <c r="Q125" s="40" t="e">
        <f>=O125-P118</f>
        <v>#DIV/0!</v>
      </c>
      <c r="R125" s="41" t="e">
        <f>=Q125/P118</f>
        <v>#DIV/0!</v>
      </c>
      <c r="S125" s="53" t="s"/>
      <c r="T125" s="50" t="s"/>
      <c r="U125" s="48" t="s"/>
      <c r="V125" s="4" t="s"/>
      <c r="W125" s="94" t="s"/>
      <c r="X125" s="95" t="s"/>
    </row>
    <row r="126" spans="1:24">
      <c r="A126" s="4" t="s"/>
      <c r="B126" s="77">
        <v>10.85</v>
      </c>
      <c r="C126" s="4">
        <v>1000</v>
      </c>
      <c r="D126" s="4">
        <v>99</v>
      </c>
      <c r="E126" s="29">
        <v>30</v>
      </c>
      <c r="F126" s="46">
        <v>250</v>
      </c>
      <c r="G126" s="46">
        <v>2.6</v>
      </c>
      <c r="H126" s="46">
        <v>0.5</v>
      </c>
      <c r="I126" s="99">
        <v>328.6</v>
      </c>
      <c r="J126" s="33" t="s"/>
      <c r="K126" s="67">
        <f>=I126-J98</f>
        <v>-2.67000000000002</v>
      </c>
      <c r="L126" s="41">
        <f>=K126/J98</f>
        <v>-0.008059890723579</v>
      </c>
      <c r="M126" s="64" t="s"/>
      <c r="N126" s="47" t="s"/>
      <c r="O126" s="68" t="s"/>
      <c r="P126" s="64" t="s"/>
      <c r="Q126" s="40" t="e">
        <f>=O126-P118</f>
        <v>#DIV/0!</v>
      </c>
      <c r="R126" s="41" t="e">
        <f>=Q126/P118</f>
        <v>#DIV/0!</v>
      </c>
      <c r="S126" s="53" t="s"/>
      <c r="T126" s="50" t="s"/>
      <c r="U126" s="48" t="s"/>
      <c r="V126" s="4" t="s"/>
      <c r="W126" s="94" t="s"/>
      <c r="X126" s="95" t="s"/>
    </row>
    <row r="127" spans="1:24">
      <c r="A127" s="4" t="s"/>
      <c r="B127" s="77">
        <v>10.85</v>
      </c>
      <c r="C127" s="4">
        <v>1000</v>
      </c>
      <c r="D127" s="4">
        <v>99</v>
      </c>
      <c r="E127" s="29">
        <v>30</v>
      </c>
      <c r="F127" s="46">
        <v>250</v>
      </c>
      <c r="G127" s="46">
        <v>2.6</v>
      </c>
      <c r="H127" s="46">
        <v>0.5</v>
      </c>
      <c r="I127" s="99">
        <v>327.6</v>
      </c>
      <c r="J127" s="33" t="s"/>
      <c r="K127" s="67">
        <f>=I127-J98</f>
        <v>-3.67000000000002</v>
      </c>
      <c r="L127" s="41">
        <f>=K127/J98</f>
        <v>-0.0110785763878408</v>
      </c>
      <c r="M127" s="70" t="s"/>
      <c r="N127" s="71" t="s"/>
      <c r="O127" s="68" t="s"/>
      <c r="P127" s="70" t="s"/>
      <c r="Q127" s="40" t="e">
        <f>=O127-P118</f>
        <v>#DIV/0!</v>
      </c>
      <c r="R127" s="41" t="e">
        <f>=Q127/P118</f>
        <v>#DIV/0!</v>
      </c>
      <c r="S127" s="55" t="s"/>
      <c r="T127" s="56" t="s"/>
      <c r="U127" s="19" t="s"/>
      <c r="V127" s="4" t="s"/>
      <c r="W127" s="96" t="s"/>
      <c r="X127" s="97" t="s"/>
    </row>
    <row r="129" spans="1:24">
      <c r="A129" s="27" t="s"/>
      <c r="B129" s="28">
        <v>10.85</v>
      </c>
      <c r="C129" s="4">
        <v>1000</v>
      </c>
      <c r="D129" s="4">
        <v>99</v>
      </c>
      <c r="E129" s="29">
        <v>35</v>
      </c>
      <c r="F129" s="30">
        <v>250</v>
      </c>
      <c r="G129" s="30">
        <v>2.6</v>
      </c>
      <c r="H129" s="30">
        <v>0.5</v>
      </c>
      <c r="I129" s="99">
        <v>366.6</v>
      </c>
      <c r="J129" s="33">
        <f>=AVERAGE(I129:I158)</f>
        <v>377.533333333333</v>
      </c>
      <c r="K129" s="34">
        <f>=I129-J129</f>
        <v>-10.9333333333333</v>
      </c>
      <c r="L129" s="35">
        <f>=K129/J129</f>
        <v>-0.0289599152392725</v>
      </c>
      <c r="M129" s="74" t="s"/>
      <c r="N129" s="37" t="e">
        <f>=AVERAGE(M129:M143)</f>
        <v>#DIV/0!</v>
      </c>
      <c r="O129" s="84" t="s"/>
      <c r="P129" s="39" t="e">
        <f>=AVERAGE(O129:O138)</f>
        <v>#DIV/0!</v>
      </c>
      <c r="Q129" s="40" t="e">
        <f>=O129-P129</f>
        <v>#DIV/0!</v>
      </c>
      <c r="R129" s="41" t="e">
        <f>=Q129/P129</f>
        <v>#DIV/0!</v>
      </c>
      <c r="S129" s="76" t="s"/>
      <c r="T129" s="43" t="e">
        <f>=AVERAGE(S129:S133)</f>
        <v>#DIV/0!</v>
      </c>
      <c r="U129" s="44" t="e">
        <f>=((T129+T139+T149)/3)/N129</f>
        <v>#DIV/0!</v>
      </c>
      <c r="V129" s="45" t="s"/>
      <c r="W129" s="90" t="s">
        <v>43</v>
      </c>
      <c r="X129" s="93" t="s"/>
    </row>
    <row r="130" spans="1:24">
      <c r="A130" s="27" t="s"/>
      <c r="B130" s="77">
        <v>10.85</v>
      </c>
      <c r="C130" s="4">
        <v>1000</v>
      </c>
      <c r="D130" s="4">
        <v>99</v>
      </c>
      <c r="E130" s="29">
        <v>35</v>
      </c>
      <c r="F130" s="46">
        <v>250</v>
      </c>
      <c r="G130" s="46">
        <v>2.6</v>
      </c>
      <c r="H130" s="46">
        <v>0.5</v>
      </c>
      <c r="I130" s="99">
        <v>370.5</v>
      </c>
      <c r="J130" s="33" t="s"/>
      <c r="K130" s="34">
        <f>=I130-J129</f>
        <v>-7.03333333333336</v>
      </c>
      <c r="L130" s="35">
        <f>=K130/J129</f>
        <v>-0.0186297015716052</v>
      </c>
      <c r="M130" s="74" t="s"/>
      <c r="N130" s="47" t="s"/>
      <c r="O130" s="84" t="s"/>
      <c r="P130" s="48" t="s"/>
      <c r="Q130" s="40" t="e">
        <f>=O130-P129</f>
        <v>#DIV/0!</v>
      </c>
      <c r="R130" s="41" t="e">
        <f>=Q130/P129</f>
        <v>#DIV/0!</v>
      </c>
      <c r="S130" s="76" t="s"/>
      <c r="T130" s="50" t="s"/>
      <c r="U130" s="48" t="s"/>
      <c r="V130" s="4" t="s"/>
      <c r="W130" s="94" t="s"/>
      <c r="X130" s="95" t="s"/>
    </row>
    <row r="131" spans="1:24">
      <c r="A131" s="27" t="s"/>
      <c r="B131" s="77">
        <v>10.85</v>
      </c>
      <c r="C131" s="4">
        <v>1000</v>
      </c>
      <c r="D131" s="4">
        <v>99</v>
      </c>
      <c r="E131" s="29">
        <v>35</v>
      </c>
      <c r="F131" s="46">
        <v>250</v>
      </c>
      <c r="G131" s="46">
        <v>2.6</v>
      </c>
      <c r="H131" s="46">
        <v>0.5</v>
      </c>
      <c r="I131" s="99">
        <v>378.1</v>
      </c>
      <c r="J131" s="33" t="s"/>
      <c r="K131" s="34">
        <f>=I131-J129</f>
        <v>0.566666666666663</v>
      </c>
      <c r="L131" s="35">
        <f>=K131/J129</f>
        <v>0.0015009712166696</v>
      </c>
      <c r="M131" s="74" t="s"/>
      <c r="N131" s="47" t="s"/>
      <c r="O131" s="84" t="s"/>
      <c r="P131" s="48" t="s"/>
      <c r="Q131" s="40" t="e">
        <f>=O131-P129</f>
        <v>#DIV/0!</v>
      </c>
      <c r="R131" s="41" t="e">
        <f>=Q131/P129</f>
        <v>#DIV/0!</v>
      </c>
      <c r="S131" s="76" t="s"/>
      <c r="T131" s="50" t="s"/>
      <c r="U131" s="48" t="s"/>
      <c r="V131" s="4" t="s"/>
      <c r="W131" s="94" t="s"/>
      <c r="X131" s="95" t="s"/>
    </row>
    <row r="132" spans="1:24">
      <c r="A132" s="27" t="s"/>
      <c r="B132" s="77">
        <v>10.85</v>
      </c>
      <c r="C132" s="4">
        <v>1000</v>
      </c>
      <c r="D132" s="4">
        <v>99</v>
      </c>
      <c r="E132" s="29">
        <v>35</v>
      </c>
      <c r="F132" s="46">
        <v>250</v>
      </c>
      <c r="G132" s="46">
        <v>2.6</v>
      </c>
      <c r="H132" s="46">
        <v>0.5</v>
      </c>
      <c r="I132" s="99">
        <v>380.5</v>
      </c>
      <c r="J132" s="33" t="s"/>
      <c r="K132" s="34">
        <f>=I132-J129</f>
        <v>2.96666666666664</v>
      </c>
      <c r="L132" s="35">
        <f>=K132/J129</f>
        <v>0.00785802578138789</v>
      </c>
      <c r="M132" s="74" t="s"/>
      <c r="N132" s="47" t="s"/>
      <c r="O132" s="84" t="s"/>
      <c r="P132" s="48" t="s"/>
      <c r="Q132" s="40" t="e">
        <f>=O132-P129</f>
        <v>#DIV/0!</v>
      </c>
      <c r="R132" s="41" t="e">
        <f>=Q132/P129</f>
        <v>#DIV/0!</v>
      </c>
      <c r="S132" s="76" t="s"/>
      <c r="T132" s="50" t="s"/>
      <c r="U132" s="48" t="s"/>
      <c r="V132" s="4" t="s"/>
      <c r="W132" s="94" t="s"/>
      <c r="X132" s="95" t="s"/>
    </row>
    <row r="133" spans="1:24">
      <c r="A133" s="27" t="s"/>
      <c r="B133" s="77">
        <v>10.85</v>
      </c>
      <c r="C133" s="4">
        <v>1000</v>
      </c>
      <c r="D133" s="4">
        <v>99</v>
      </c>
      <c r="E133" s="29">
        <v>35</v>
      </c>
      <c r="F133" s="46">
        <v>250</v>
      </c>
      <c r="G133" s="46">
        <v>2.6</v>
      </c>
      <c r="H133" s="46">
        <v>0.5</v>
      </c>
      <c r="I133" s="99">
        <v>389.7</v>
      </c>
      <c r="J133" s="33" t="s"/>
      <c r="K133" s="34">
        <f>=I133-J129</f>
        <v>12.1666666666666</v>
      </c>
      <c r="L133" s="35">
        <f>=K133/J129</f>
        <v>0.0322267349461415</v>
      </c>
      <c r="M133" s="74" t="s"/>
      <c r="N133" s="47" t="s"/>
      <c r="O133" s="84" t="s"/>
      <c r="P133" s="48" t="s"/>
      <c r="Q133" s="40" t="e">
        <f>=O133-P129</f>
        <v>#DIV/0!</v>
      </c>
      <c r="R133" s="41" t="e">
        <f>=Q133/P129</f>
        <v>#DIV/0!</v>
      </c>
      <c r="S133" s="76" t="s"/>
      <c r="T133" s="50" t="s"/>
      <c r="U133" s="48" t="s"/>
      <c r="V133" s="4" t="s"/>
      <c r="W133" s="94" t="s"/>
      <c r="X133" s="95" t="s"/>
    </row>
    <row r="134" spans="1:24">
      <c r="A134" s="27" t="s"/>
      <c r="B134" s="77">
        <v>10.85</v>
      </c>
      <c r="C134" s="4">
        <v>1000</v>
      </c>
      <c r="D134" s="4">
        <v>99</v>
      </c>
      <c r="E134" s="29">
        <v>35</v>
      </c>
      <c r="F134" s="46">
        <v>250</v>
      </c>
      <c r="G134" s="46">
        <v>2.6</v>
      </c>
      <c r="H134" s="46">
        <v>0.5</v>
      </c>
      <c r="I134" s="99">
        <v>379.2</v>
      </c>
      <c r="J134" s="33" t="s"/>
      <c r="K134" s="34">
        <f>=I134-J129</f>
        <v>1.66666666666663</v>
      </c>
      <c r="L134" s="35">
        <f>=K134/J129</f>
        <v>0.00441462122549875</v>
      </c>
      <c r="M134" s="74" t="s"/>
      <c r="N134" s="47" t="s"/>
      <c r="O134" s="84" t="s"/>
      <c r="P134" s="48" t="s"/>
      <c r="Q134" s="40" t="e">
        <f>=O134-P129</f>
        <v>#DIV/0!</v>
      </c>
      <c r="R134" s="41" t="e">
        <f>=Q134/P129</f>
        <v>#DIV/0!</v>
      </c>
      <c r="S134" s="52" t="s">
        <v>32</v>
      </c>
      <c r="T134" s="50" t="s"/>
      <c r="U134" s="48" t="s"/>
      <c r="V134" s="4" t="s"/>
      <c r="W134" s="94" t="s"/>
      <c r="X134" s="95" t="s"/>
    </row>
    <row r="135" spans="1:24">
      <c r="A135" s="27" t="s"/>
      <c r="B135" s="77">
        <v>10.85</v>
      </c>
      <c r="C135" s="4">
        <v>1000</v>
      </c>
      <c r="D135" s="4">
        <v>99</v>
      </c>
      <c r="E135" s="29">
        <v>35</v>
      </c>
      <c r="F135" s="46">
        <v>250</v>
      </c>
      <c r="G135" s="46">
        <v>2.6</v>
      </c>
      <c r="H135" s="46">
        <v>0.5</v>
      </c>
      <c r="I135" s="99">
        <v>377</v>
      </c>
      <c r="J135" s="33" t="s"/>
      <c r="K135" s="34">
        <f>=I135-J129</f>
        <v>-0.53333333333336</v>
      </c>
      <c r="L135" s="35">
        <f>=K135/J129</f>
        <v>-0.0014126787921597</v>
      </c>
      <c r="M135" s="74" t="s"/>
      <c r="N135" s="47" t="s"/>
      <c r="O135" s="84" t="s"/>
      <c r="P135" s="48" t="s"/>
      <c r="Q135" s="40" t="e">
        <f>=O135-P129</f>
        <v>#DIV/0!</v>
      </c>
      <c r="R135" s="41" t="e">
        <f>=Q135/P129</f>
        <v>#DIV/0!</v>
      </c>
      <c r="S135" s="53" t="s"/>
      <c r="T135" s="50" t="s"/>
      <c r="U135" s="48" t="s"/>
      <c r="V135" s="4" t="s"/>
      <c r="W135" s="94" t="s"/>
      <c r="X135" s="95" t="s"/>
    </row>
    <row r="136" spans="1:24">
      <c r="A136" s="4" t="s"/>
      <c r="B136" s="77">
        <v>10.85</v>
      </c>
      <c r="C136" s="4">
        <v>1000</v>
      </c>
      <c r="D136" s="4">
        <v>99</v>
      </c>
      <c r="E136" s="29">
        <v>35</v>
      </c>
      <c r="F136" s="46">
        <v>250</v>
      </c>
      <c r="G136" s="46">
        <v>2.6</v>
      </c>
      <c r="H136" s="46">
        <v>0.5</v>
      </c>
      <c r="I136" s="99">
        <v>376.2</v>
      </c>
      <c r="J136" s="33" t="s"/>
      <c r="K136" s="34">
        <f>=I136-J129</f>
        <v>-1.33333333333337</v>
      </c>
      <c r="L136" s="35">
        <f>=K136/J129</f>
        <v>-0.00353169698039918</v>
      </c>
      <c r="M136" s="74" t="s"/>
      <c r="N136" s="47" t="s"/>
      <c r="O136" s="84" t="s"/>
      <c r="P136" s="48" t="s"/>
      <c r="Q136" s="40" t="e">
        <f>=O136-P129</f>
        <v>#DIV/0!</v>
      </c>
      <c r="R136" s="41" t="e">
        <f>=Q136/P129</f>
        <v>#DIV/0!</v>
      </c>
      <c r="S136" s="53" t="s"/>
      <c r="T136" s="50" t="s"/>
      <c r="U136" s="48" t="s"/>
      <c r="V136" s="4" t="s"/>
      <c r="W136" s="94" t="s"/>
      <c r="X136" s="95" t="s"/>
    </row>
    <row r="137" spans="1:24">
      <c r="A137" s="4" t="s"/>
      <c r="B137" s="77">
        <v>10.85</v>
      </c>
      <c r="C137" s="4">
        <v>1000</v>
      </c>
      <c r="D137" s="4">
        <v>99</v>
      </c>
      <c r="E137" s="29">
        <v>35</v>
      </c>
      <c r="F137" s="46">
        <v>250</v>
      </c>
      <c r="G137" s="46">
        <v>2.6</v>
      </c>
      <c r="H137" s="46">
        <v>0.5</v>
      </c>
      <c r="I137" s="99">
        <v>369.5</v>
      </c>
      <c r="J137" s="33" t="s"/>
      <c r="K137" s="34">
        <f>=I137-J129</f>
        <v>-8.03333333333336</v>
      </c>
      <c r="L137" s="35">
        <f>=K137/J129</f>
        <v>-0.0212784743069045</v>
      </c>
      <c r="M137" s="74" t="s"/>
      <c r="N137" s="47" t="s"/>
      <c r="O137" s="84" t="s"/>
      <c r="P137" s="48" t="s"/>
      <c r="Q137" s="40" t="e">
        <f>=O137-P129</f>
        <v>#DIV/0!</v>
      </c>
      <c r="R137" s="41" t="e">
        <f>=Q137/P129</f>
        <v>#DIV/0!</v>
      </c>
      <c r="S137" s="53" t="s"/>
      <c r="T137" s="50" t="s"/>
      <c r="U137" s="48" t="s"/>
      <c r="V137" s="4" t="s"/>
      <c r="W137" s="94" t="s"/>
      <c r="X137" s="95" t="s"/>
    </row>
    <row r="138" spans="1:24">
      <c r="A138" s="4" t="s"/>
      <c r="B138" s="77">
        <v>10.85</v>
      </c>
      <c r="C138" s="4">
        <v>1000</v>
      </c>
      <c r="D138" s="4">
        <v>99</v>
      </c>
      <c r="E138" s="29">
        <v>35</v>
      </c>
      <c r="F138" s="46">
        <v>250</v>
      </c>
      <c r="G138" s="46">
        <v>2.6</v>
      </c>
      <c r="H138" s="46">
        <v>0.5</v>
      </c>
      <c r="I138" s="99">
        <v>378.2</v>
      </c>
      <c r="J138" s="33" t="s"/>
      <c r="K138" s="34">
        <f>=I138-J129</f>
        <v>0.666666666666629</v>
      </c>
      <c r="L138" s="35">
        <f>=K138/J129</f>
        <v>0.00176584849019944</v>
      </c>
      <c r="M138" s="74" t="s"/>
      <c r="N138" s="47" t="s"/>
      <c r="O138" s="84" t="s"/>
      <c r="P138" s="19" t="s"/>
      <c r="Q138" s="40" t="e">
        <f>=O138-P129</f>
        <v>#DIV/0!</v>
      </c>
      <c r="R138" s="41" t="e">
        <f>=Q138/P129</f>
        <v>#DIV/0!</v>
      </c>
      <c r="S138" s="55" t="s"/>
      <c r="T138" s="56" t="s"/>
      <c r="U138" s="48" t="s"/>
      <c r="V138" s="4" t="s"/>
      <c r="W138" s="94" t="s"/>
      <c r="X138" s="95" t="s"/>
    </row>
    <row r="139" spans="1:24">
      <c r="A139" s="4" t="s"/>
      <c r="B139" s="77">
        <v>10.85</v>
      </c>
      <c r="C139" s="4">
        <v>1000</v>
      </c>
      <c r="D139" s="4">
        <v>99</v>
      </c>
      <c r="E139" s="29">
        <v>35</v>
      </c>
      <c r="F139" s="46">
        <v>250</v>
      </c>
      <c r="G139" s="46">
        <v>2.6</v>
      </c>
      <c r="H139" s="46">
        <v>0.5</v>
      </c>
      <c r="I139" s="99">
        <v>376.1</v>
      </c>
      <c r="J139" s="33" t="s"/>
      <c r="K139" s="57">
        <f>=I139-J129</f>
        <v>-1.43333333333334</v>
      </c>
      <c r="L139" s="58">
        <f>=K139/J129</f>
        <v>-0.00379657425392902</v>
      </c>
      <c r="M139" s="74" t="s"/>
      <c r="N139" s="47" t="s"/>
      <c r="O139" s="85" t="s"/>
      <c r="P139" s="60" t="e">
        <f>=AVERAGE(O139:O148)</f>
        <v>#DIV/0!</v>
      </c>
      <c r="Q139" s="40" t="e">
        <f>=O139-P139</f>
        <v>#DIV/0!</v>
      </c>
      <c r="R139" s="41" t="e">
        <f>=Q139/P139</f>
        <v>#DIV/0!</v>
      </c>
      <c r="S139" s="76" t="s"/>
      <c r="T139" s="43" t="e">
        <f>=AVERAGE(S139:S143)</f>
        <v>#DIV/0!</v>
      </c>
      <c r="U139" s="48" t="s"/>
      <c r="V139" s="4" t="s"/>
      <c r="W139" s="94" t="s"/>
      <c r="X139" s="95" t="s"/>
    </row>
    <row r="140" spans="1:24">
      <c r="A140" s="4" t="s"/>
      <c r="B140" s="77">
        <v>10.85</v>
      </c>
      <c r="C140" s="4">
        <v>1000</v>
      </c>
      <c r="D140" s="4">
        <v>99</v>
      </c>
      <c r="E140" s="29">
        <v>35</v>
      </c>
      <c r="F140" s="46">
        <v>250</v>
      </c>
      <c r="G140" s="46">
        <v>2.6</v>
      </c>
      <c r="H140" s="46">
        <v>0.5</v>
      </c>
      <c r="I140" s="99">
        <v>379.6</v>
      </c>
      <c r="J140" s="33" t="s"/>
      <c r="K140" s="57">
        <f>=I140-J129</f>
        <v>2.06666666666666</v>
      </c>
      <c r="L140" s="58">
        <f>=K140/J129</f>
        <v>0.00547413031961857</v>
      </c>
      <c r="M140" s="74" t="s"/>
      <c r="N140" s="47" t="s"/>
      <c r="O140" s="85" t="s"/>
      <c r="P140" s="61" t="s"/>
      <c r="Q140" s="40" t="e">
        <f>=O140-P139</f>
        <v>#DIV/0!</v>
      </c>
      <c r="R140" s="41" t="e">
        <f>=Q140/P139</f>
        <v>#DIV/0!</v>
      </c>
      <c r="S140" s="76" t="s"/>
      <c r="T140" s="50" t="s"/>
      <c r="U140" s="48" t="s"/>
      <c r="V140" s="4" t="s"/>
      <c r="W140" s="94" t="s"/>
      <c r="X140" s="95" t="s"/>
    </row>
    <row r="141" spans="1:24">
      <c r="A141" s="4" t="s"/>
      <c r="B141" s="77">
        <v>10.85</v>
      </c>
      <c r="C141" s="4">
        <v>1000</v>
      </c>
      <c r="D141" s="4">
        <v>99</v>
      </c>
      <c r="E141" s="29">
        <v>35</v>
      </c>
      <c r="F141" s="46">
        <v>250</v>
      </c>
      <c r="G141" s="46">
        <v>2.6</v>
      </c>
      <c r="H141" s="46">
        <v>0.5</v>
      </c>
      <c r="I141" s="99">
        <v>378.5</v>
      </c>
      <c r="J141" s="33" t="s"/>
      <c r="K141" s="57">
        <f>=I141-J129</f>
        <v>0.96666666666664</v>
      </c>
      <c r="L141" s="58">
        <f>=K141/J129</f>
        <v>0.00256048031078926</v>
      </c>
      <c r="M141" s="74" t="s"/>
      <c r="N141" s="47" t="s"/>
      <c r="O141" s="85" t="s"/>
      <c r="P141" s="61" t="s"/>
      <c r="Q141" s="40" t="e">
        <f>=O141-P139</f>
        <v>#DIV/0!</v>
      </c>
      <c r="R141" s="41" t="e">
        <f>=Q141/P139</f>
        <v>#DIV/0!</v>
      </c>
      <c r="S141" s="76" t="s"/>
      <c r="T141" s="50" t="s"/>
      <c r="U141" s="48" t="s"/>
      <c r="V141" s="4" t="s"/>
      <c r="W141" s="94" t="s"/>
      <c r="X141" s="95" t="s"/>
    </row>
    <row r="142" spans="1:24">
      <c r="A142" s="4" t="s"/>
      <c r="B142" s="77">
        <v>10.85</v>
      </c>
      <c r="C142" s="4">
        <v>1000</v>
      </c>
      <c r="D142" s="4">
        <v>99</v>
      </c>
      <c r="E142" s="29">
        <v>35</v>
      </c>
      <c r="F142" s="46">
        <v>250</v>
      </c>
      <c r="G142" s="46">
        <v>2.6</v>
      </c>
      <c r="H142" s="46">
        <v>0.5</v>
      </c>
      <c r="I142" s="99">
        <v>373.2</v>
      </c>
      <c r="J142" s="33" t="s"/>
      <c r="K142" s="57">
        <f>=I142-J129</f>
        <v>-4.33333333333337</v>
      </c>
      <c r="L142" s="58">
        <f>=K142/J129</f>
        <v>-0.0114780151862971</v>
      </c>
      <c r="M142" s="74" t="s"/>
      <c r="N142" s="47" t="s"/>
      <c r="O142" s="85" t="s"/>
      <c r="P142" s="61" t="s"/>
      <c r="Q142" s="40" t="e">
        <f>=O142-P139</f>
        <v>#DIV/0!</v>
      </c>
      <c r="R142" s="41" t="e">
        <f>=Q142/P139</f>
        <v>#DIV/0!</v>
      </c>
      <c r="S142" s="76" t="s"/>
      <c r="T142" s="50" t="s"/>
      <c r="U142" s="48" t="s"/>
      <c r="V142" s="4" t="s"/>
      <c r="W142" s="94" t="s"/>
      <c r="X142" s="95" t="s"/>
    </row>
    <row r="143" spans="1:24">
      <c r="A143" s="4" t="s"/>
      <c r="B143" s="77">
        <v>10.85</v>
      </c>
      <c r="C143" s="4">
        <v>1000</v>
      </c>
      <c r="D143" s="4">
        <v>99</v>
      </c>
      <c r="E143" s="29">
        <v>35</v>
      </c>
      <c r="F143" s="46">
        <v>250</v>
      </c>
      <c r="G143" s="46">
        <v>2.6</v>
      </c>
      <c r="H143" s="46">
        <v>0.5</v>
      </c>
      <c r="I143" s="99">
        <v>371.1</v>
      </c>
      <c r="J143" s="33" t="s"/>
      <c r="K143" s="57">
        <f>=I143-J129</f>
        <v>-6.43333333333334</v>
      </c>
      <c r="L143" s="58">
        <f>=K143/J129</f>
        <v>-0.0170404379304256</v>
      </c>
      <c r="M143" s="74" t="s"/>
      <c r="N143" s="47" t="s"/>
      <c r="O143" s="85" t="s"/>
      <c r="P143" s="61" t="s"/>
      <c r="Q143" s="40" t="e">
        <f>=O143-P139</f>
        <v>#DIV/0!</v>
      </c>
      <c r="R143" s="41" t="e">
        <f>=Q143/P139</f>
        <v>#DIV/0!</v>
      </c>
      <c r="S143" s="76" t="s"/>
      <c r="T143" s="50" t="s"/>
      <c r="U143" s="48" t="s"/>
      <c r="V143" s="4" t="s"/>
      <c r="W143" s="94" t="s"/>
      <c r="X143" s="95" t="s"/>
    </row>
    <row r="144" spans="1:24">
      <c r="A144" s="4" t="s"/>
      <c r="B144" s="77">
        <v>10.85</v>
      </c>
      <c r="C144" s="4">
        <v>1000</v>
      </c>
      <c r="D144" s="4">
        <v>99</v>
      </c>
      <c r="E144" s="29">
        <v>35</v>
      </c>
      <c r="F144" s="46">
        <v>250</v>
      </c>
      <c r="G144" s="46">
        <v>2.6</v>
      </c>
      <c r="H144" s="46">
        <v>0.5</v>
      </c>
      <c r="I144" s="99">
        <v>371</v>
      </c>
      <c r="J144" s="33" t="s"/>
      <c r="K144" s="57">
        <f>=I144-J129</f>
        <v>-6.53333333333336</v>
      </c>
      <c r="L144" s="58">
        <f>=K144/J129</f>
        <v>-0.0173053152039556</v>
      </c>
      <c r="M144" s="62" t="s">
        <v>32</v>
      </c>
      <c r="N144" s="47" t="s"/>
      <c r="O144" s="85" t="s"/>
      <c r="P144" s="61" t="s"/>
      <c r="Q144" s="40" t="e">
        <f>=O144-P139</f>
        <v>#DIV/0!</v>
      </c>
      <c r="R144" s="41" t="e">
        <f>=Q144/P139</f>
        <v>#DIV/0!</v>
      </c>
      <c r="S144" s="52" t="s">
        <v>32</v>
      </c>
      <c r="T144" s="50" t="s"/>
      <c r="U144" s="48" t="s"/>
      <c r="V144" s="4" t="s"/>
      <c r="W144" s="94" t="s"/>
      <c r="X144" s="95" t="s"/>
    </row>
    <row r="145" spans="1:24">
      <c r="A145" s="4" t="s"/>
      <c r="B145" s="77">
        <v>10.85</v>
      </c>
      <c r="C145" s="4">
        <v>1000</v>
      </c>
      <c r="D145" s="4">
        <v>99</v>
      </c>
      <c r="E145" s="29">
        <v>35</v>
      </c>
      <c r="F145" s="46">
        <v>250</v>
      </c>
      <c r="G145" s="46">
        <v>2.6</v>
      </c>
      <c r="H145" s="46">
        <v>0.5</v>
      </c>
      <c r="I145" s="99">
        <v>374.3</v>
      </c>
      <c r="J145" s="33" t="s"/>
      <c r="K145" s="57">
        <f>=I145-J129</f>
        <v>-3.23333333333335</v>
      </c>
      <c r="L145" s="58">
        <f>=K145/J129</f>
        <v>-0.00856436517746781</v>
      </c>
      <c r="M145" s="64" t="s"/>
      <c r="N145" s="47" t="s"/>
      <c r="O145" s="85" t="s"/>
      <c r="P145" s="61" t="s"/>
      <c r="Q145" s="40" t="e">
        <f>=O145-P139</f>
        <v>#DIV/0!</v>
      </c>
      <c r="R145" s="41" t="e">
        <f>=Q145/P139</f>
        <v>#DIV/0!</v>
      </c>
      <c r="S145" s="53" t="s"/>
      <c r="T145" s="50" t="s"/>
      <c r="U145" s="48" t="s"/>
      <c r="V145" s="4" t="s"/>
      <c r="W145" s="94" t="s"/>
      <c r="X145" s="95" t="s"/>
    </row>
    <row r="146" spans="1:24">
      <c r="A146" s="4" t="s"/>
      <c r="B146" s="77">
        <v>10.85</v>
      </c>
      <c r="C146" s="4">
        <v>1000</v>
      </c>
      <c r="D146" s="4">
        <v>99</v>
      </c>
      <c r="E146" s="29">
        <v>35</v>
      </c>
      <c r="F146" s="46">
        <v>250</v>
      </c>
      <c r="G146" s="46">
        <v>2.6</v>
      </c>
      <c r="H146" s="46">
        <v>0.5</v>
      </c>
      <c r="I146" s="99">
        <v>375</v>
      </c>
      <c r="J146" s="33" t="s"/>
      <c r="K146" s="57">
        <f>=I146-J129</f>
        <v>-2.53333333333336</v>
      </c>
      <c r="L146" s="58">
        <f>=K146/J129</f>
        <v>-0.00671022426275833</v>
      </c>
      <c r="M146" s="64" t="s"/>
      <c r="N146" s="47" t="s"/>
      <c r="O146" s="85" t="s"/>
      <c r="P146" s="61" t="s"/>
      <c r="Q146" s="40" t="e">
        <f>=O146-P139</f>
        <v>#DIV/0!</v>
      </c>
      <c r="R146" s="41" t="e">
        <f>=Q146/P139</f>
        <v>#DIV/0!</v>
      </c>
      <c r="S146" s="53" t="s"/>
      <c r="T146" s="50" t="s"/>
      <c r="U146" s="48" t="s"/>
      <c r="V146" s="4" t="s"/>
      <c r="W146" s="94" t="s"/>
      <c r="X146" s="95" t="s"/>
    </row>
    <row r="147" spans="1:24">
      <c r="A147" s="4" t="s"/>
      <c r="B147" s="77">
        <v>10.85</v>
      </c>
      <c r="C147" s="4">
        <v>1000</v>
      </c>
      <c r="D147" s="4">
        <v>99</v>
      </c>
      <c r="E147" s="29">
        <v>35</v>
      </c>
      <c r="F147" s="46">
        <v>250</v>
      </c>
      <c r="G147" s="46">
        <v>2.6</v>
      </c>
      <c r="H147" s="46">
        <v>0.5</v>
      </c>
      <c r="I147" s="99">
        <v>380.6</v>
      </c>
      <c r="J147" s="33" t="s"/>
      <c r="K147" s="57">
        <f>=I147-J129</f>
        <v>3.06666666666666</v>
      </c>
      <c r="L147" s="58">
        <f>=K147/J129</f>
        <v>0.00812290305491788</v>
      </c>
      <c r="M147" s="64" t="s"/>
      <c r="N147" s="47" t="s"/>
      <c r="O147" s="85" t="s"/>
      <c r="P147" s="61" t="s"/>
      <c r="Q147" s="40" t="e">
        <f>=O147-P139</f>
        <v>#DIV/0!</v>
      </c>
      <c r="R147" s="41" t="e">
        <f>=Q147/P139</f>
        <v>#DIV/0!</v>
      </c>
      <c r="S147" s="53" t="s"/>
      <c r="T147" s="50" t="s"/>
      <c r="U147" s="48" t="s"/>
      <c r="V147" s="4" t="s"/>
      <c r="W147" s="94" t="s"/>
      <c r="X147" s="95" t="s"/>
    </row>
    <row r="148" spans="1:24">
      <c r="A148" s="4" t="s"/>
      <c r="B148" s="77">
        <v>10.85</v>
      </c>
      <c r="C148" s="4">
        <v>1000</v>
      </c>
      <c r="D148" s="4">
        <v>99</v>
      </c>
      <c r="E148" s="29">
        <v>35</v>
      </c>
      <c r="F148" s="46">
        <v>250</v>
      </c>
      <c r="G148" s="46">
        <v>2.6</v>
      </c>
      <c r="H148" s="46">
        <v>0.5</v>
      </c>
      <c r="I148" s="99">
        <v>381.8</v>
      </c>
      <c r="J148" s="33" t="s"/>
      <c r="K148" s="57">
        <f>=I148-J129</f>
        <v>4.26666666666665</v>
      </c>
      <c r="L148" s="58">
        <f>=K148/J129</f>
        <v>0.011301430337277</v>
      </c>
      <c r="M148" s="64" t="s"/>
      <c r="N148" s="47" t="s"/>
      <c r="O148" s="85" t="s"/>
      <c r="P148" s="66" t="s"/>
      <c r="Q148" s="40" t="e">
        <f>=O148-P139</f>
        <v>#DIV/0!</v>
      </c>
      <c r="R148" s="41" t="e">
        <f>=Q148/P139</f>
        <v>#DIV/0!</v>
      </c>
      <c r="S148" s="55" t="s"/>
      <c r="T148" s="56" t="s"/>
      <c r="U148" s="48" t="s"/>
      <c r="V148" s="4" t="s"/>
      <c r="W148" s="94" t="s"/>
      <c r="X148" s="95" t="s"/>
    </row>
    <row r="149" spans="1:24">
      <c r="A149" s="4" t="s"/>
      <c r="B149" s="77">
        <v>10.85</v>
      </c>
      <c r="C149" s="4">
        <v>1000</v>
      </c>
      <c r="D149" s="4">
        <v>99</v>
      </c>
      <c r="E149" s="29">
        <v>35</v>
      </c>
      <c r="F149" s="46">
        <v>250</v>
      </c>
      <c r="G149" s="46">
        <v>2.6</v>
      </c>
      <c r="H149" s="46">
        <v>0.5</v>
      </c>
      <c r="I149" s="99">
        <v>379.5</v>
      </c>
      <c r="J149" s="33" t="s"/>
      <c r="K149" s="67">
        <f>=I149-J129</f>
        <v>1.96666666666664</v>
      </c>
      <c r="L149" s="41">
        <f>=K149/J129</f>
        <v>0.00520925304608858</v>
      </c>
      <c r="M149" s="64" t="s"/>
      <c r="N149" s="47" t="s"/>
      <c r="O149" s="68" t="s"/>
      <c r="P149" s="69" t="e">
        <f>=AVERAGE(O149:O158)</f>
        <v>#DIV/0!</v>
      </c>
      <c r="Q149" s="40" t="e">
        <f>=O149-P149</f>
        <v>#DIV/0!</v>
      </c>
      <c r="R149" s="41" t="e">
        <f>=Q149/P149</f>
        <v>#DIV/0!</v>
      </c>
      <c r="S149" s="76" t="s"/>
      <c r="T149" s="43" t="e">
        <f>=AVERAGE(S149:S153)</f>
        <v>#DIV/0!</v>
      </c>
      <c r="U149" s="48" t="s"/>
      <c r="V149" s="4" t="s"/>
      <c r="W149" s="94" t="s"/>
      <c r="X149" s="95" t="s"/>
    </row>
    <row r="150" spans="1:24">
      <c r="A150" s="4" t="s"/>
      <c r="B150" s="77">
        <v>10.85</v>
      </c>
      <c r="C150" s="4">
        <v>1000</v>
      </c>
      <c r="D150" s="4">
        <v>99</v>
      </c>
      <c r="E150" s="29">
        <v>35</v>
      </c>
      <c r="F150" s="46">
        <v>250</v>
      </c>
      <c r="G150" s="46">
        <v>2.6</v>
      </c>
      <c r="H150" s="46">
        <v>0.5</v>
      </c>
      <c r="I150" s="99">
        <v>385</v>
      </c>
      <c r="J150" s="33" t="s"/>
      <c r="K150" s="67">
        <f>=I150-J129</f>
        <v>7.46666666666664</v>
      </c>
      <c r="L150" s="41">
        <f>=K150/J129</f>
        <v>0.0197775030902348</v>
      </c>
      <c r="M150" s="64" t="s"/>
      <c r="N150" s="47" t="s"/>
      <c r="O150" s="68" t="s"/>
      <c r="P150" s="64" t="s"/>
      <c r="Q150" s="40" t="e">
        <f>=O150-P149</f>
        <v>#DIV/0!</v>
      </c>
      <c r="R150" s="41" t="e">
        <f>=Q150/P149</f>
        <v>#DIV/0!</v>
      </c>
      <c r="S150" s="76" t="s"/>
      <c r="T150" s="50" t="s"/>
      <c r="U150" s="48" t="s"/>
      <c r="V150" s="4" t="s"/>
      <c r="W150" s="94" t="s"/>
      <c r="X150" s="95" t="s"/>
    </row>
    <row r="151" spans="1:24">
      <c r="A151" s="4" t="s"/>
      <c r="B151" s="77">
        <v>10.85</v>
      </c>
      <c r="C151" s="4">
        <v>1000</v>
      </c>
      <c r="D151" s="4">
        <v>99</v>
      </c>
      <c r="E151" s="29">
        <v>35</v>
      </c>
      <c r="F151" s="46">
        <v>250</v>
      </c>
      <c r="G151" s="46">
        <v>2.6</v>
      </c>
      <c r="H151" s="46">
        <v>0.5</v>
      </c>
      <c r="I151" s="99">
        <v>383</v>
      </c>
      <c r="J151" s="33" t="s"/>
      <c r="K151" s="67">
        <f>=I151-J129</f>
        <v>5.46666666666664</v>
      </c>
      <c r="L151" s="41">
        <f>=K151/J129</f>
        <v>0.0144799576196362</v>
      </c>
      <c r="M151" s="64" t="s"/>
      <c r="N151" s="47" t="s"/>
      <c r="O151" s="68" t="s"/>
      <c r="P151" s="64" t="s"/>
      <c r="Q151" s="40" t="e">
        <f>=O151-P149</f>
        <v>#DIV/0!</v>
      </c>
      <c r="R151" s="41" t="e">
        <f>=Q151/P149</f>
        <v>#DIV/0!</v>
      </c>
      <c r="S151" s="76" t="s"/>
      <c r="T151" s="50" t="s"/>
      <c r="U151" s="48" t="s"/>
      <c r="V151" s="4" t="s"/>
      <c r="W151" s="94" t="s"/>
      <c r="X151" s="95" t="s"/>
    </row>
    <row r="152" spans="1:24">
      <c r="A152" s="4" t="s"/>
      <c r="B152" s="77">
        <v>10.85</v>
      </c>
      <c r="C152" s="4">
        <v>1000</v>
      </c>
      <c r="D152" s="4">
        <v>99</v>
      </c>
      <c r="E152" s="29">
        <v>35</v>
      </c>
      <c r="F152" s="46">
        <v>250</v>
      </c>
      <c r="G152" s="46">
        <v>2.6</v>
      </c>
      <c r="H152" s="46">
        <v>0.5</v>
      </c>
      <c r="I152" s="99">
        <v>381</v>
      </c>
      <c r="J152" s="33" t="s"/>
      <c r="K152" s="67">
        <f>=I152-J129</f>
        <v>3.46666666666664</v>
      </c>
      <c r="L152" s="41">
        <f>=K152/J129</f>
        <v>0.00918241214903754</v>
      </c>
      <c r="M152" s="64" t="s"/>
      <c r="N152" s="47" t="s"/>
      <c r="O152" s="68" t="s"/>
      <c r="P152" s="64" t="s"/>
      <c r="Q152" s="40" t="e">
        <f>=O152-P149</f>
        <v>#DIV/0!</v>
      </c>
      <c r="R152" s="41" t="e">
        <f>=Q152/P149</f>
        <v>#DIV/0!</v>
      </c>
      <c r="S152" s="76" t="s"/>
      <c r="T152" s="50" t="s"/>
      <c r="U152" s="48" t="s"/>
      <c r="V152" s="4" t="s"/>
      <c r="W152" s="94" t="s"/>
      <c r="X152" s="95" t="s"/>
    </row>
    <row r="153" spans="1:24">
      <c r="A153" s="4" t="s"/>
      <c r="B153" s="77">
        <v>10.85</v>
      </c>
      <c r="C153" s="4">
        <v>1000</v>
      </c>
      <c r="D153" s="4">
        <v>99</v>
      </c>
      <c r="E153" s="29">
        <v>35</v>
      </c>
      <c r="F153" s="46">
        <v>250</v>
      </c>
      <c r="G153" s="46">
        <v>2.6</v>
      </c>
      <c r="H153" s="46">
        <v>0.5</v>
      </c>
      <c r="I153" s="99">
        <v>377</v>
      </c>
      <c r="J153" s="33" t="s"/>
      <c r="K153" s="67">
        <f>=I153-J129</f>
        <v>-0.53333333333336</v>
      </c>
      <c r="L153" s="41">
        <f>=K153/J129</f>
        <v>-0.0014126787921597</v>
      </c>
      <c r="M153" s="64" t="s"/>
      <c r="N153" s="47" t="s"/>
      <c r="O153" s="68" t="s"/>
      <c r="P153" s="64" t="s"/>
      <c r="Q153" s="40" t="e">
        <f>=O153-P149</f>
        <v>#DIV/0!</v>
      </c>
      <c r="R153" s="41" t="e">
        <f>=Q153/P149</f>
        <v>#DIV/0!</v>
      </c>
      <c r="S153" s="76" t="s"/>
      <c r="T153" s="50" t="s"/>
      <c r="U153" s="48" t="s"/>
      <c r="V153" s="4" t="s"/>
      <c r="W153" s="94" t="s"/>
      <c r="X153" s="95" t="s"/>
    </row>
    <row r="154" spans="1:24">
      <c r="A154" s="4" t="s"/>
      <c r="B154" s="77">
        <v>10.85</v>
      </c>
      <c r="C154" s="4">
        <v>1000</v>
      </c>
      <c r="D154" s="4">
        <v>99</v>
      </c>
      <c r="E154" s="29">
        <v>35</v>
      </c>
      <c r="F154" s="46">
        <v>250</v>
      </c>
      <c r="G154" s="46">
        <v>2.6</v>
      </c>
      <c r="H154" s="46">
        <v>0.5</v>
      </c>
      <c r="I154" s="99">
        <v>378.2</v>
      </c>
      <c r="J154" s="33" t="s"/>
      <c r="K154" s="67">
        <f>=I154-J129</f>
        <v>0.666666666666629</v>
      </c>
      <c r="L154" s="41">
        <f>=K154/J129</f>
        <v>0.00176584849019944</v>
      </c>
      <c r="M154" s="64" t="s"/>
      <c r="N154" s="47" t="s"/>
      <c r="O154" s="68" t="s"/>
      <c r="P154" s="64" t="s"/>
      <c r="Q154" s="40" t="e">
        <f>=O154-P149</f>
        <v>#DIV/0!</v>
      </c>
      <c r="R154" s="41" t="e">
        <f>=Q154/P149</f>
        <v>#DIV/0!</v>
      </c>
      <c r="S154" s="52" t="s">
        <v>32</v>
      </c>
      <c r="T154" s="50" t="s"/>
      <c r="U154" s="48" t="s"/>
      <c r="V154" s="4" t="s"/>
      <c r="W154" s="94" t="s"/>
      <c r="X154" s="95" t="s"/>
    </row>
    <row r="155" spans="1:24">
      <c r="A155" s="4" t="s"/>
      <c r="B155" s="77">
        <v>10.85</v>
      </c>
      <c r="C155" s="4">
        <v>1000</v>
      </c>
      <c r="D155" s="4">
        <v>99</v>
      </c>
      <c r="E155" s="29">
        <v>35</v>
      </c>
      <c r="F155" s="46">
        <v>250</v>
      </c>
      <c r="G155" s="46">
        <v>2.6</v>
      </c>
      <c r="H155" s="46">
        <v>0.5</v>
      </c>
      <c r="I155" s="99">
        <v>377.8</v>
      </c>
      <c r="J155" s="33" t="s"/>
      <c r="K155" s="67">
        <f>=I155-J129</f>
        <v>0.266666666666652</v>
      </c>
      <c r="L155" s="41">
        <f>=K155/J129</f>
        <v>0.000706339396079776</v>
      </c>
      <c r="M155" s="64" t="s"/>
      <c r="N155" s="47" t="s"/>
      <c r="O155" s="68" t="s"/>
      <c r="P155" s="64" t="s"/>
      <c r="Q155" s="40" t="e">
        <f>=O155-P149</f>
        <v>#DIV/0!</v>
      </c>
      <c r="R155" s="41" t="e">
        <f>=Q155/P149</f>
        <v>#DIV/0!</v>
      </c>
      <c r="S155" s="53" t="s"/>
      <c r="T155" s="50" t="s"/>
      <c r="U155" s="48" t="s"/>
      <c r="V155" s="4" t="s"/>
      <c r="W155" s="94" t="s"/>
      <c r="X155" s="95" t="s"/>
    </row>
    <row r="156" spans="1:24">
      <c r="A156" s="4" t="s"/>
      <c r="B156" s="77">
        <v>10.85</v>
      </c>
      <c r="C156" s="4">
        <v>1000</v>
      </c>
      <c r="D156" s="4">
        <v>99</v>
      </c>
      <c r="E156" s="29">
        <v>35</v>
      </c>
      <c r="F156" s="46">
        <v>250</v>
      </c>
      <c r="G156" s="46">
        <v>2.6</v>
      </c>
      <c r="H156" s="46">
        <v>0.5</v>
      </c>
      <c r="I156" s="99">
        <v>374.9</v>
      </c>
      <c r="J156" s="33" t="s"/>
      <c r="K156" s="67">
        <f>=I156-J129</f>
        <v>-2.63333333333338</v>
      </c>
      <c r="L156" s="41">
        <f>=K156/J129</f>
        <v>-0.00697510153628832</v>
      </c>
      <c r="M156" s="64" t="s"/>
      <c r="N156" s="47" t="s"/>
      <c r="O156" s="68" t="s"/>
      <c r="P156" s="64" t="s"/>
      <c r="Q156" s="40" t="e">
        <f>=O156-P149</f>
        <v>#DIV/0!</v>
      </c>
      <c r="R156" s="41" t="e">
        <f>=Q156/P149</f>
        <v>#DIV/0!</v>
      </c>
      <c r="S156" s="53" t="s"/>
      <c r="T156" s="50" t="s"/>
      <c r="U156" s="48" t="s"/>
      <c r="V156" s="4" t="s"/>
      <c r="W156" s="94" t="s"/>
      <c r="X156" s="95" t="s"/>
    </row>
    <row r="157" spans="1:24">
      <c r="A157" s="4" t="s"/>
      <c r="B157" s="77">
        <v>10.85</v>
      </c>
      <c r="C157" s="4">
        <v>1000</v>
      </c>
      <c r="D157" s="4">
        <v>99</v>
      </c>
      <c r="E157" s="29">
        <v>35</v>
      </c>
      <c r="F157" s="46">
        <v>250</v>
      </c>
      <c r="G157" s="46">
        <v>2.6</v>
      </c>
      <c r="H157" s="46">
        <v>0.5</v>
      </c>
      <c r="I157" s="99">
        <v>380.6</v>
      </c>
      <c r="J157" s="33" t="s"/>
      <c r="K157" s="67">
        <f>=I157-J129</f>
        <v>3.06666666666666</v>
      </c>
      <c r="L157" s="41">
        <f>=K157/J129</f>
        <v>0.00812290305491788</v>
      </c>
      <c r="M157" s="64" t="s"/>
      <c r="N157" s="47" t="s"/>
      <c r="O157" s="68" t="s"/>
      <c r="P157" s="64" t="s"/>
      <c r="Q157" s="40" t="e">
        <f>=O157-P149</f>
        <v>#DIV/0!</v>
      </c>
      <c r="R157" s="41" t="e">
        <f>=Q157/P149</f>
        <v>#DIV/0!</v>
      </c>
      <c r="S157" s="53" t="s"/>
      <c r="T157" s="50" t="s"/>
      <c r="U157" s="48" t="s"/>
      <c r="V157" s="4" t="s"/>
      <c r="W157" s="94" t="s"/>
      <c r="X157" s="95" t="s"/>
    </row>
    <row r="158" spans="1:24">
      <c r="A158" s="4" t="s"/>
      <c r="B158" s="77">
        <v>10.85</v>
      </c>
      <c r="C158" s="4">
        <v>1000</v>
      </c>
      <c r="D158" s="4">
        <v>99</v>
      </c>
      <c r="E158" s="29">
        <v>35</v>
      </c>
      <c r="F158" s="46">
        <v>250</v>
      </c>
      <c r="G158" s="46">
        <v>2.6</v>
      </c>
      <c r="H158" s="46">
        <v>0.5</v>
      </c>
      <c r="I158" s="99">
        <v>382.3</v>
      </c>
      <c r="J158" s="33" t="s"/>
      <c r="K158" s="67">
        <f>=I158-J129</f>
        <v>4.76666666666665</v>
      </c>
      <c r="L158" s="41">
        <f>=K158/J129</f>
        <v>0.0126258167049267</v>
      </c>
      <c r="M158" s="70" t="s"/>
      <c r="N158" s="71" t="s"/>
      <c r="O158" s="68" t="s"/>
      <c r="P158" s="70" t="s"/>
      <c r="Q158" s="40" t="e">
        <f>=O158-P149</f>
        <v>#DIV/0!</v>
      </c>
      <c r="R158" s="41" t="e">
        <f>=Q158/P149</f>
        <v>#DIV/0!</v>
      </c>
      <c r="S158" s="55" t="s"/>
      <c r="T158" s="56" t="s"/>
      <c r="U158" s="19" t="s"/>
      <c r="V158" s="4" t="s"/>
      <c r="W158" s="96" t="s"/>
      <c r="X158" s="97" t="s"/>
    </row>
    <row r="160" spans="1:24">
      <c r="A160" s="27" t="s"/>
      <c r="B160" s="28">
        <v>10.85</v>
      </c>
      <c r="C160" s="4">
        <v>1000</v>
      </c>
      <c r="D160" s="4">
        <v>99</v>
      </c>
      <c r="E160" s="29">
        <v>40</v>
      </c>
      <c r="F160" s="30">
        <v>250</v>
      </c>
      <c r="G160" s="30">
        <v>2.6</v>
      </c>
      <c r="H160" s="30">
        <v>0.5</v>
      </c>
      <c r="I160" s="99">
        <v>335</v>
      </c>
      <c r="J160" s="33">
        <f>=AVERAGE(I160:I189)</f>
        <v>361.063333333333</v>
      </c>
      <c r="K160" s="34">
        <f>=I160-J160</f>
        <v>-26.0633333333334</v>
      </c>
      <c r="L160" s="35">
        <f>=K160/J160</f>
        <v>-0.0721849352375854</v>
      </c>
      <c r="M160" s="74" t="s"/>
      <c r="N160" s="37" t="e">
        <f>=AVERAGE(M160:M174)</f>
        <v>#DIV/0!</v>
      </c>
      <c r="O160" s="84" t="s"/>
      <c r="P160" s="39" t="e">
        <f>=AVERAGE(O160:O169)</f>
        <v>#DIV/0!</v>
      </c>
      <c r="Q160" s="40" t="e">
        <f>=O160-P160</f>
        <v>#DIV/0!</v>
      </c>
      <c r="R160" s="41" t="e">
        <f>=Q160/P160</f>
        <v>#DIV/0!</v>
      </c>
      <c r="S160" s="76" t="s"/>
      <c r="T160" s="43" t="e">
        <f>=AVERAGE(S160:S164)</f>
        <v>#DIV/0!</v>
      </c>
      <c r="U160" s="44" t="e">
        <f>=((T160+T170+T180)/3)/N160</f>
        <v>#DIV/0!</v>
      </c>
      <c r="V160" s="45" t="s"/>
      <c r="W160" s="90" t="s">
        <v>44</v>
      </c>
      <c r="X160" s="93" t="s"/>
    </row>
    <row r="161" spans="1:24">
      <c r="A161" s="27" t="s"/>
      <c r="B161" s="77">
        <v>10.85</v>
      </c>
      <c r="C161" s="4">
        <v>1000</v>
      </c>
      <c r="D161" s="4">
        <v>99</v>
      </c>
      <c r="E161" s="29">
        <v>40</v>
      </c>
      <c r="F161" s="46">
        <v>250</v>
      </c>
      <c r="G161" s="46">
        <v>2.6</v>
      </c>
      <c r="H161" s="46">
        <v>0.5</v>
      </c>
      <c r="I161" s="99">
        <v>350.7</v>
      </c>
      <c r="J161" s="33" t="s"/>
      <c r="K161" s="34">
        <f>=I161-J160</f>
        <v>-10.3633333333334</v>
      </c>
      <c r="L161" s="35">
        <f>=K161/J160</f>
        <v>-0.028702259068123</v>
      </c>
      <c r="M161" s="74" t="s"/>
      <c r="N161" s="47" t="s"/>
      <c r="O161" s="84" t="s"/>
      <c r="P161" s="48" t="s"/>
      <c r="Q161" s="40" t="e">
        <f>=O161-P160</f>
        <v>#DIV/0!</v>
      </c>
      <c r="R161" s="41" t="e">
        <f>=Q161/P160</f>
        <v>#DIV/0!</v>
      </c>
      <c r="S161" s="76" t="s"/>
      <c r="T161" s="50" t="s"/>
      <c r="U161" s="48" t="s"/>
      <c r="V161" s="4" t="s"/>
      <c r="W161" s="94" t="s"/>
      <c r="X161" s="95" t="s"/>
    </row>
    <row r="162" spans="1:24">
      <c r="A162" s="27" t="s"/>
      <c r="B162" s="77">
        <v>10.85</v>
      </c>
      <c r="C162" s="4">
        <v>1000</v>
      </c>
      <c r="D162" s="4">
        <v>99</v>
      </c>
      <c r="E162" s="29">
        <v>40</v>
      </c>
      <c r="F162" s="46">
        <v>250</v>
      </c>
      <c r="G162" s="46">
        <v>2.6</v>
      </c>
      <c r="H162" s="46">
        <v>0.5</v>
      </c>
      <c r="I162" s="99">
        <v>338.3</v>
      </c>
      <c r="J162" s="33" t="s"/>
      <c r="K162" s="34">
        <f>=I162-J160</f>
        <v>-22.7633333333334</v>
      </c>
      <c r="L162" s="35">
        <f>=K162/J160</f>
        <v>-0.0630452644503736</v>
      </c>
      <c r="M162" s="74" t="s"/>
      <c r="N162" s="47" t="s"/>
      <c r="O162" s="84" t="s"/>
      <c r="P162" s="48" t="s"/>
      <c r="Q162" s="40" t="e">
        <f>=O162-P160</f>
        <v>#DIV/0!</v>
      </c>
      <c r="R162" s="41" t="e">
        <f>=Q162/P160</f>
        <v>#DIV/0!</v>
      </c>
      <c r="S162" s="76" t="s"/>
      <c r="T162" s="50" t="s"/>
      <c r="U162" s="48" t="s"/>
      <c r="V162" s="4" t="s"/>
      <c r="W162" s="94" t="s"/>
      <c r="X162" s="95" t="s"/>
    </row>
    <row r="163" spans="1:24">
      <c r="A163" s="27" t="s"/>
      <c r="B163" s="77">
        <v>10.85</v>
      </c>
      <c r="C163" s="4">
        <v>1000</v>
      </c>
      <c r="D163" s="4">
        <v>99</v>
      </c>
      <c r="E163" s="29">
        <v>40</v>
      </c>
      <c r="F163" s="46">
        <v>250</v>
      </c>
      <c r="G163" s="46">
        <v>2.6</v>
      </c>
      <c r="H163" s="46">
        <v>0.5</v>
      </c>
      <c r="I163" s="99">
        <v>342.9</v>
      </c>
      <c r="J163" s="33" t="s"/>
      <c r="K163" s="34">
        <f>=I163-J160</f>
        <v>-18.1633333333334</v>
      </c>
      <c r="L163" s="35">
        <f>=K163/J160</f>
        <v>-0.050305117292442</v>
      </c>
      <c r="M163" s="74" t="s"/>
      <c r="N163" s="47" t="s"/>
      <c r="O163" s="84" t="s"/>
      <c r="P163" s="48" t="s"/>
      <c r="Q163" s="40" t="e">
        <f>=O163-P160</f>
        <v>#DIV/0!</v>
      </c>
      <c r="R163" s="41" t="e">
        <f>=Q163/P160</f>
        <v>#DIV/0!</v>
      </c>
      <c r="S163" s="76" t="s"/>
      <c r="T163" s="50" t="s"/>
      <c r="U163" s="48" t="s"/>
      <c r="V163" s="4" t="s"/>
      <c r="W163" s="94" t="s"/>
      <c r="X163" s="95" t="s"/>
    </row>
    <row r="164" spans="1:24">
      <c r="A164" s="27" t="s"/>
      <c r="B164" s="77">
        <v>10.85</v>
      </c>
      <c r="C164" s="4">
        <v>1000</v>
      </c>
      <c r="D164" s="4">
        <v>99</v>
      </c>
      <c r="E164" s="29">
        <v>40</v>
      </c>
      <c r="F164" s="46">
        <v>250</v>
      </c>
      <c r="G164" s="46">
        <v>2.6</v>
      </c>
      <c r="H164" s="46">
        <v>0.5</v>
      </c>
      <c r="I164" s="99">
        <v>351.8</v>
      </c>
      <c r="J164" s="33" t="s"/>
      <c r="K164" s="34">
        <f>=I164-J160</f>
        <v>-9.26333333333338</v>
      </c>
      <c r="L164" s="35">
        <f>=K164/J160</f>
        <v>-0.0256557021390524</v>
      </c>
      <c r="M164" s="74" t="s"/>
      <c r="N164" s="47" t="s"/>
      <c r="O164" s="84" t="s"/>
      <c r="P164" s="48" t="s"/>
      <c r="Q164" s="40" t="e">
        <f>=O164-P160</f>
        <v>#DIV/0!</v>
      </c>
      <c r="R164" s="41" t="e">
        <f>=Q164/P160</f>
        <v>#DIV/0!</v>
      </c>
      <c r="S164" s="76" t="s"/>
      <c r="T164" s="50" t="s"/>
      <c r="U164" s="48" t="s"/>
      <c r="V164" s="4" t="s"/>
      <c r="W164" s="94" t="s"/>
      <c r="X164" s="95" t="s"/>
    </row>
    <row r="165" spans="1:24">
      <c r="A165" s="27" t="s"/>
      <c r="B165" s="77">
        <v>10.85</v>
      </c>
      <c r="C165" s="4">
        <v>1000</v>
      </c>
      <c r="D165" s="4">
        <v>99</v>
      </c>
      <c r="E165" s="29">
        <v>40</v>
      </c>
      <c r="F165" s="46">
        <v>250</v>
      </c>
      <c r="G165" s="46">
        <v>2.6</v>
      </c>
      <c r="H165" s="46">
        <v>0.5</v>
      </c>
      <c r="I165" s="99">
        <v>357.2</v>
      </c>
      <c r="J165" s="33" t="s"/>
      <c r="K165" s="34">
        <f>=I165-J160</f>
        <v>-3.8633333333334</v>
      </c>
      <c r="L165" s="35">
        <f>=K165/J160</f>
        <v>-0.010699877214524</v>
      </c>
      <c r="M165" s="74" t="s"/>
      <c r="N165" s="47" t="s"/>
      <c r="O165" s="84" t="s"/>
      <c r="P165" s="48" t="s"/>
      <c r="Q165" s="40" t="e">
        <f>=O165-P160</f>
        <v>#DIV/0!</v>
      </c>
      <c r="R165" s="41" t="e">
        <f>=Q165/P160</f>
        <v>#DIV/0!</v>
      </c>
      <c r="S165" s="52" t="s">
        <v>32</v>
      </c>
      <c r="T165" s="50" t="s"/>
      <c r="U165" s="48" t="s"/>
      <c r="V165" s="4" t="s"/>
      <c r="W165" s="94" t="s"/>
      <c r="X165" s="95" t="s"/>
    </row>
    <row r="166" spans="1:24">
      <c r="A166" s="27" t="s"/>
      <c r="B166" s="77">
        <v>10.85</v>
      </c>
      <c r="C166" s="4">
        <v>1000</v>
      </c>
      <c r="D166" s="4">
        <v>99</v>
      </c>
      <c r="E166" s="29">
        <v>40</v>
      </c>
      <c r="F166" s="46">
        <v>250</v>
      </c>
      <c r="G166" s="46">
        <v>2.6</v>
      </c>
      <c r="H166" s="46">
        <v>0.5</v>
      </c>
      <c r="I166" s="99">
        <v>356.4</v>
      </c>
      <c r="J166" s="33" t="s"/>
      <c r="K166" s="34">
        <f>=I166-J160</f>
        <v>-4.66333333333341</v>
      </c>
      <c r="L166" s="35">
        <f>=K166/J160</f>
        <v>-0.0129155549811208</v>
      </c>
      <c r="M166" s="74" t="s"/>
      <c r="N166" s="47" t="s"/>
      <c r="O166" s="84" t="s"/>
      <c r="P166" s="48" t="s"/>
      <c r="Q166" s="40" t="e">
        <f>=O166-P160</f>
        <v>#DIV/0!</v>
      </c>
      <c r="R166" s="41" t="e">
        <f>=Q166/P160</f>
        <v>#DIV/0!</v>
      </c>
      <c r="S166" s="53" t="s"/>
      <c r="T166" s="50" t="s"/>
      <c r="U166" s="48" t="s"/>
      <c r="V166" s="4" t="s"/>
      <c r="W166" s="94" t="s"/>
      <c r="X166" s="95" t="s"/>
    </row>
    <row r="167" spans="1:24">
      <c r="A167" s="4" t="s"/>
      <c r="B167" s="77">
        <v>10.85</v>
      </c>
      <c r="C167" s="4">
        <v>1000</v>
      </c>
      <c r="D167" s="4">
        <v>99</v>
      </c>
      <c r="E167" s="29">
        <v>40</v>
      </c>
      <c r="F167" s="46">
        <v>250</v>
      </c>
      <c r="G167" s="46">
        <v>2.6</v>
      </c>
      <c r="H167" s="46">
        <v>0.5</v>
      </c>
      <c r="I167" s="99">
        <v>351.2</v>
      </c>
      <c r="J167" s="33" t="s"/>
      <c r="K167" s="34">
        <f>=I167-J160</f>
        <v>-9.8633333333334</v>
      </c>
      <c r="L167" s="35">
        <f>=K167/J160</f>
        <v>-0.027317460464</v>
      </c>
      <c r="M167" s="74" t="s"/>
      <c r="N167" s="47" t="s"/>
      <c r="O167" s="84" t="s"/>
      <c r="P167" s="48" t="s"/>
      <c r="Q167" s="40" t="e">
        <f>=O167-P160</f>
        <v>#DIV/0!</v>
      </c>
      <c r="R167" s="41" t="e">
        <f>=Q167/P160</f>
        <v>#DIV/0!</v>
      </c>
      <c r="S167" s="53" t="s"/>
      <c r="T167" s="50" t="s"/>
      <c r="U167" s="48" t="s"/>
      <c r="V167" s="4" t="s"/>
      <c r="W167" s="94" t="s"/>
      <c r="X167" s="95" t="s"/>
    </row>
    <row r="168" spans="1:24">
      <c r="A168" s="4" t="s"/>
      <c r="B168" s="77">
        <v>10.85</v>
      </c>
      <c r="C168" s="4">
        <v>1000</v>
      </c>
      <c r="D168" s="4">
        <v>99</v>
      </c>
      <c r="E168" s="29">
        <v>40</v>
      </c>
      <c r="F168" s="46">
        <v>250</v>
      </c>
      <c r="G168" s="46">
        <v>2.6</v>
      </c>
      <c r="H168" s="46">
        <v>0.5</v>
      </c>
      <c r="I168" s="99">
        <v>351.7</v>
      </c>
      <c r="J168" s="33" t="s"/>
      <c r="K168" s="34">
        <f>=I168-J160</f>
        <v>-9.3633333333334</v>
      </c>
      <c r="L168" s="35">
        <f>=K168/J160</f>
        <v>-0.025932661859877</v>
      </c>
      <c r="M168" s="74" t="s"/>
      <c r="N168" s="47" t="s"/>
      <c r="O168" s="84" t="s"/>
      <c r="P168" s="48" t="s"/>
      <c r="Q168" s="40" t="e">
        <f>=O168-P160</f>
        <v>#DIV/0!</v>
      </c>
      <c r="R168" s="41" t="e">
        <f>=Q168/P160</f>
        <v>#DIV/0!</v>
      </c>
      <c r="S168" s="53" t="s"/>
      <c r="T168" s="50" t="s"/>
      <c r="U168" s="48" t="s"/>
      <c r="V168" s="4" t="s"/>
      <c r="W168" s="94" t="s"/>
      <c r="X168" s="95" t="s"/>
    </row>
    <row r="169" spans="1:24">
      <c r="A169" s="4" t="s"/>
      <c r="B169" s="77">
        <v>10.85</v>
      </c>
      <c r="C169" s="4">
        <v>1000</v>
      </c>
      <c r="D169" s="4">
        <v>99</v>
      </c>
      <c r="E169" s="29">
        <v>40</v>
      </c>
      <c r="F169" s="46">
        <v>250</v>
      </c>
      <c r="G169" s="46">
        <v>2.6</v>
      </c>
      <c r="H169" s="46">
        <v>0.5</v>
      </c>
      <c r="I169" s="99">
        <v>360.3</v>
      </c>
      <c r="J169" s="33" t="s"/>
      <c r="K169" s="34">
        <f>=I169-J160</f>
        <v>-0.763333333333378</v>
      </c>
      <c r="L169" s="35">
        <f>=K169/J160</f>
        <v>-0.00211412586896125</v>
      </c>
      <c r="M169" s="74" t="s"/>
      <c r="N169" s="47" t="s"/>
      <c r="O169" s="84" t="s"/>
      <c r="P169" s="19" t="s"/>
      <c r="Q169" s="40" t="e">
        <f>=O169-P160</f>
        <v>#DIV/0!</v>
      </c>
      <c r="R169" s="41" t="e">
        <f>=Q169/P160</f>
        <v>#DIV/0!</v>
      </c>
      <c r="S169" s="55" t="s"/>
      <c r="T169" s="56" t="s"/>
      <c r="U169" s="48" t="s"/>
      <c r="V169" s="4" t="s"/>
      <c r="W169" s="94" t="s"/>
      <c r="X169" s="95" t="s"/>
    </row>
    <row r="170" spans="1:24">
      <c r="A170" s="4" t="s"/>
      <c r="B170" s="77">
        <v>10.85</v>
      </c>
      <c r="C170" s="4">
        <v>1000</v>
      </c>
      <c r="D170" s="4">
        <v>99</v>
      </c>
      <c r="E170" s="29">
        <v>40</v>
      </c>
      <c r="F170" s="46">
        <v>250</v>
      </c>
      <c r="G170" s="46">
        <v>2.6</v>
      </c>
      <c r="H170" s="46">
        <v>0.5</v>
      </c>
      <c r="I170" s="99">
        <v>361</v>
      </c>
      <c r="J170" s="33" t="s"/>
      <c r="K170" s="57">
        <f>=I170-J160</f>
        <v>-0.0633333333333894</v>
      </c>
      <c r="L170" s="58">
        <f>=K170/J160</f>
        <v>-0.00017540782318907</v>
      </c>
      <c r="M170" s="74" t="s"/>
      <c r="N170" s="47" t="s"/>
      <c r="O170" s="85" t="s"/>
      <c r="P170" s="60" t="e">
        <f>=AVERAGE(O170:O179)</f>
        <v>#DIV/0!</v>
      </c>
      <c r="Q170" s="40" t="e">
        <f>=O170-P170</f>
        <v>#DIV/0!</v>
      </c>
      <c r="R170" s="41" t="e">
        <f>=Q170/P170</f>
        <v>#DIV/0!</v>
      </c>
      <c r="S170" s="76" t="s"/>
      <c r="T170" s="43" t="e">
        <f>=AVERAGE(S170:S174)</f>
        <v>#DIV/0!</v>
      </c>
      <c r="U170" s="48" t="s"/>
      <c r="V170" s="4" t="s"/>
      <c r="W170" s="94" t="s"/>
      <c r="X170" s="95" t="s"/>
    </row>
    <row r="171" spans="1:24">
      <c r="A171" s="4" t="s"/>
      <c r="B171" s="77">
        <v>10.85</v>
      </c>
      <c r="C171" s="4">
        <v>1000</v>
      </c>
      <c r="D171" s="4">
        <v>99</v>
      </c>
      <c r="E171" s="29">
        <v>40</v>
      </c>
      <c r="F171" s="46">
        <v>250</v>
      </c>
      <c r="G171" s="46">
        <v>2.6</v>
      </c>
      <c r="H171" s="46">
        <v>0.5</v>
      </c>
      <c r="I171" s="99">
        <v>362.3</v>
      </c>
      <c r="J171" s="33" t="s"/>
      <c r="K171" s="57">
        <f>=I171-J160</f>
        <v>1.23666666666662</v>
      </c>
      <c r="L171" s="58">
        <f>=K171/J160</f>
        <v>0.00342506854753078</v>
      </c>
      <c r="M171" s="74" t="s"/>
      <c r="N171" s="47" t="s"/>
      <c r="O171" s="85" t="s"/>
      <c r="P171" s="61" t="s"/>
      <c r="Q171" s="40" t="e">
        <f>=O171-P170</f>
        <v>#DIV/0!</v>
      </c>
      <c r="R171" s="41" t="e">
        <f>=Q171/P170</f>
        <v>#DIV/0!</v>
      </c>
      <c r="S171" s="76" t="s"/>
      <c r="T171" s="50" t="s"/>
      <c r="U171" s="48" t="s"/>
      <c r="V171" s="4" t="s"/>
      <c r="W171" s="94" t="s"/>
      <c r="X171" s="95" t="s"/>
    </row>
    <row r="172" spans="1:24">
      <c r="A172" s="4" t="s"/>
      <c r="B172" s="77">
        <v>10.85</v>
      </c>
      <c r="C172" s="4">
        <v>1000</v>
      </c>
      <c r="D172" s="4">
        <v>99</v>
      </c>
      <c r="E172" s="29">
        <v>40</v>
      </c>
      <c r="F172" s="46">
        <v>250</v>
      </c>
      <c r="G172" s="46">
        <v>2.6</v>
      </c>
      <c r="H172" s="46">
        <v>0.5</v>
      </c>
      <c r="I172" s="99">
        <v>357.8</v>
      </c>
      <c r="J172" s="33" t="s"/>
      <c r="K172" s="57">
        <f>=I172-J160</f>
        <v>-3.26333333333338</v>
      </c>
      <c r="L172" s="58">
        <f>=K172/J160</f>
        <v>-0.00903811888957628</v>
      </c>
      <c r="M172" s="74" t="s"/>
      <c r="N172" s="47" t="s"/>
      <c r="O172" s="85" t="s"/>
      <c r="P172" s="61" t="s"/>
      <c r="Q172" s="40" t="e">
        <f>=O172-P170</f>
        <v>#DIV/0!</v>
      </c>
      <c r="R172" s="41" t="e">
        <f>=Q172/P170</f>
        <v>#DIV/0!</v>
      </c>
      <c r="S172" s="76" t="s"/>
      <c r="T172" s="50" t="s"/>
      <c r="U172" s="48" t="s"/>
      <c r="V172" s="4" t="s"/>
      <c r="W172" s="94" t="s"/>
      <c r="X172" s="95" t="s"/>
    </row>
    <row r="173" spans="1:24">
      <c r="A173" s="4" t="s"/>
      <c r="B173" s="77">
        <v>10.85</v>
      </c>
      <c r="C173" s="4">
        <v>1000</v>
      </c>
      <c r="D173" s="4">
        <v>99</v>
      </c>
      <c r="E173" s="29">
        <v>40</v>
      </c>
      <c r="F173" s="46">
        <v>250</v>
      </c>
      <c r="G173" s="46">
        <v>2.6</v>
      </c>
      <c r="H173" s="46">
        <v>0.5</v>
      </c>
      <c r="I173" s="99">
        <v>361.4</v>
      </c>
      <c r="J173" s="33" t="s"/>
      <c r="K173" s="57">
        <f>=I173-J160</f>
        <v>0.336666666666588</v>
      </c>
      <c r="L173" s="58">
        <f>=K173/J160</f>
        <v>0.000932431060109273</v>
      </c>
      <c r="M173" s="74" t="s"/>
      <c r="N173" s="47" t="s"/>
      <c r="O173" s="85" t="s"/>
      <c r="P173" s="61" t="s"/>
      <c r="Q173" s="40" t="e">
        <f>=O173-P170</f>
        <v>#DIV/0!</v>
      </c>
      <c r="R173" s="41" t="e">
        <f>=Q173/P170</f>
        <v>#DIV/0!</v>
      </c>
      <c r="S173" s="76" t="s"/>
      <c r="T173" s="50" t="s"/>
      <c r="U173" s="48" t="s"/>
      <c r="V173" s="4" t="s"/>
      <c r="W173" s="94" t="s"/>
      <c r="X173" s="95" t="s"/>
    </row>
    <row r="174" spans="1:24">
      <c r="A174" s="4" t="s"/>
      <c r="B174" s="77">
        <v>10.85</v>
      </c>
      <c r="C174" s="4">
        <v>1000</v>
      </c>
      <c r="D174" s="4">
        <v>99</v>
      </c>
      <c r="E174" s="29">
        <v>40</v>
      </c>
      <c r="F174" s="46">
        <v>250</v>
      </c>
      <c r="G174" s="46">
        <v>2.6</v>
      </c>
      <c r="H174" s="46">
        <v>0.5</v>
      </c>
      <c r="I174" s="99">
        <v>361.5</v>
      </c>
      <c r="J174" s="33" t="s"/>
      <c r="K174" s="57">
        <f>=I174-J160</f>
        <v>0.436666666666611</v>
      </c>
      <c r="L174" s="58">
        <f>=K174/J160</f>
        <v>0.00120939078093394</v>
      </c>
      <c r="M174" s="74" t="s"/>
      <c r="N174" s="47" t="s"/>
      <c r="O174" s="85" t="s"/>
      <c r="P174" s="61" t="s"/>
      <c r="Q174" s="40" t="e">
        <f>=O174-P170</f>
        <v>#DIV/0!</v>
      </c>
      <c r="R174" s="41" t="e">
        <f>=Q174/P170</f>
        <v>#DIV/0!</v>
      </c>
      <c r="S174" s="76" t="s"/>
      <c r="T174" s="50" t="s"/>
      <c r="U174" s="48" t="s"/>
      <c r="V174" s="4" t="s"/>
      <c r="W174" s="94" t="s"/>
      <c r="X174" s="95" t="s"/>
    </row>
    <row r="175" spans="1:24">
      <c r="A175" s="4" t="s"/>
      <c r="B175" s="77">
        <v>10.85</v>
      </c>
      <c r="C175" s="4">
        <v>1000</v>
      </c>
      <c r="D175" s="4">
        <v>99</v>
      </c>
      <c r="E175" s="29">
        <v>40</v>
      </c>
      <c r="F175" s="46">
        <v>250</v>
      </c>
      <c r="G175" s="46">
        <v>2.6</v>
      </c>
      <c r="H175" s="46">
        <v>0.5</v>
      </c>
      <c r="I175" s="99">
        <v>354.4</v>
      </c>
      <c r="J175" s="33" t="s"/>
      <c r="K175" s="57">
        <f>=I175-J160</f>
        <v>-6.66333333333341</v>
      </c>
      <c r="L175" s="58">
        <f>=K175/J160</f>
        <v>-0.0184547493976128</v>
      </c>
      <c r="M175" s="62" t="s">
        <v>32</v>
      </c>
      <c r="N175" s="47" t="s"/>
      <c r="O175" s="85" t="s"/>
      <c r="P175" s="61" t="s"/>
      <c r="Q175" s="40" t="e">
        <f>=O175-P170</f>
        <v>#DIV/0!</v>
      </c>
      <c r="R175" s="41" t="e">
        <f>=Q175/P170</f>
        <v>#DIV/0!</v>
      </c>
      <c r="S175" s="52" t="s">
        <v>32</v>
      </c>
      <c r="T175" s="50" t="s"/>
      <c r="U175" s="48" t="s"/>
      <c r="V175" s="4" t="s"/>
      <c r="W175" s="94" t="s"/>
      <c r="X175" s="95" t="s"/>
    </row>
    <row r="176" spans="1:24">
      <c r="A176" s="4" t="s"/>
      <c r="B176" s="77">
        <v>10.85</v>
      </c>
      <c r="C176" s="4">
        <v>1000</v>
      </c>
      <c r="D176" s="4">
        <v>99</v>
      </c>
      <c r="E176" s="29">
        <v>40</v>
      </c>
      <c r="F176" s="46">
        <v>250</v>
      </c>
      <c r="G176" s="46">
        <v>2.6</v>
      </c>
      <c r="H176" s="46">
        <v>0.5</v>
      </c>
      <c r="I176" s="99">
        <v>356.9</v>
      </c>
      <c r="J176" s="33" t="s"/>
      <c r="K176" s="57">
        <f>=I176-J160</f>
        <v>-4.16333333333341</v>
      </c>
      <c r="L176" s="58">
        <f>=K176/J160</f>
        <v>-0.0115307563769978</v>
      </c>
      <c r="M176" s="64" t="s"/>
      <c r="N176" s="47" t="s"/>
      <c r="O176" s="85" t="s"/>
      <c r="P176" s="61" t="s"/>
      <c r="Q176" s="40" t="e">
        <f>=O176-P170</f>
        <v>#DIV/0!</v>
      </c>
      <c r="R176" s="41" t="e">
        <f>=Q176/P170</f>
        <v>#DIV/0!</v>
      </c>
      <c r="S176" s="53" t="s"/>
      <c r="T176" s="50" t="s"/>
      <c r="U176" s="48" t="s"/>
      <c r="V176" s="4" t="s"/>
      <c r="W176" s="94" t="s"/>
      <c r="X176" s="95" t="s"/>
    </row>
    <row r="177" spans="1:24">
      <c r="A177" s="4" t="s"/>
      <c r="B177" s="77">
        <v>10.85</v>
      </c>
      <c r="C177" s="4">
        <v>1000</v>
      </c>
      <c r="D177" s="4">
        <v>99</v>
      </c>
      <c r="E177" s="29">
        <v>40</v>
      </c>
      <c r="F177" s="46">
        <v>250</v>
      </c>
      <c r="G177" s="46">
        <v>2.6</v>
      </c>
      <c r="H177" s="46">
        <v>0.5</v>
      </c>
      <c r="I177" s="99">
        <v>366.1</v>
      </c>
      <c r="J177" s="33" t="s"/>
      <c r="K177" s="57">
        <f>=I177-J160</f>
        <v>5.03666666666663</v>
      </c>
      <c r="L177" s="58">
        <f>=K177/J160</f>
        <v>0.0139495379388657</v>
      </c>
      <c r="M177" s="64" t="s"/>
      <c r="N177" s="47" t="s"/>
      <c r="O177" s="85" t="s"/>
      <c r="P177" s="61" t="s"/>
      <c r="Q177" s="40" t="e">
        <f>=O177-P170</f>
        <v>#DIV/0!</v>
      </c>
      <c r="R177" s="41" t="e">
        <f>=Q177/P170</f>
        <v>#DIV/0!</v>
      </c>
      <c r="S177" s="53" t="s"/>
      <c r="T177" s="50" t="s"/>
      <c r="U177" s="48" t="s"/>
      <c r="V177" s="4" t="s"/>
      <c r="W177" s="94" t="s"/>
      <c r="X177" s="95" t="s"/>
    </row>
    <row r="178" spans="1:24">
      <c r="A178" s="4" t="s"/>
      <c r="B178" s="77">
        <v>10.85</v>
      </c>
      <c r="C178" s="4">
        <v>1000</v>
      </c>
      <c r="D178" s="4">
        <v>99</v>
      </c>
      <c r="E178" s="29">
        <v>40</v>
      </c>
      <c r="F178" s="46">
        <v>250</v>
      </c>
      <c r="G178" s="46">
        <v>2.6</v>
      </c>
      <c r="H178" s="46">
        <v>0.5</v>
      </c>
      <c r="I178" s="99">
        <v>369.9</v>
      </c>
      <c r="J178" s="33" t="s"/>
      <c r="K178" s="57">
        <f>=I178-J160</f>
        <v>8.83666666666659</v>
      </c>
      <c r="L178" s="58">
        <f>=K178/J160</f>
        <v>0.0244740073302004</v>
      </c>
      <c r="M178" s="64" t="s"/>
      <c r="N178" s="47" t="s"/>
      <c r="O178" s="85" t="s"/>
      <c r="P178" s="61" t="s"/>
      <c r="Q178" s="40" t="e">
        <f>=O178-P170</f>
        <v>#DIV/0!</v>
      </c>
      <c r="R178" s="41" t="e">
        <f>=Q178/P170</f>
        <v>#DIV/0!</v>
      </c>
      <c r="S178" s="53" t="s"/>
      <c r="T178" s="50" t="s"/>
      <c r="U178" s="48" t="s"/>
      <c r="V178" s="4" t="s"/>
      <c r="W178" s="94" t="s"/>
      <c r="X178" s="95" t="s"/>
    </row>
    <row r="179" spans="1:24">
      <c r="A179" s="4" t="s"/>
      <c r="B179" s="77">
        <v>10.85</v>
      </c>
      <c r="C179" s="4">
        <v>1000</v>
      </c>
      <c r="D179" s="4">
        <v>99</v>
      </c>
      <c r="E179" s="29">
        <v>40</v>
      </c>
      <c r="F179" s="46">
        <v>250</v>
      </c>
      <c r="G179" s="46">
        <v>2.6</v>
      </c>
      <c r="H179" s="46">
        <v>0.5</v>
      </c>
      <c r="I179" s="99">
        <v>367.8</v>
      </c>
      <c r="J179" s="33" t="s"/>
      <c r="K179" s="57">
        <f>=I179-J160</f>
        <v>6.73666666666662</v>
      </c>
      <c r="L179" s="58">
        <f>=K179/J160</f>
        <v>0.0186578531928839</v>
      </c>
      <c r="M179" s="64" t="s"/>
      <c r="N179" s="47" t="s"/>
      <c r="O179" s="85" t="s"/>
      <c r="P179" s="66" t="s"/>
      <c r="Q179" s="40" t="e">
        <f>=O179-P170</f>
        <v>#DIV/0!</v>
      </c>
      <c r="R179" s="41" t="e">
        <f>=Q179/P170</f>
        <v>#DIV/0!</v>
      </c>
      <c r="S179" s="55" t="s"/>
      <c r="T179" s="56" t="s"/>
      <c r="U179" s="48" t="s"/>
      <c r="V179" s="4" t="s"/>
      <c r="W179" s="94" t="s"/>
      <c r="X179" s="95" t="s"/>
    </row>
    <row r="180" spans="1:24">
      <c r="A180" s="4" t="s"/>
      <c r="B180" s="77">
        <v>10.85</v>
      </c>
      <c r="C180" s="4">
        <v>1000</v>
      </c>
      <c r="D180" s="4">
        <v>99</v>
      </c>
      <c r="E180" s="29">
        <v>40</v>
      </c>
      <c r="F180" s="46">
        <v>250</v>
      </c>
      <c r="G180" s="46">
        <v>2.6</v>
      </c>
      <c r="H180" s="46">
        <v>0.5</v>
      </c>
      <c r="I180" s="99">
        <v>371.5</v>
      </c>
      <c r="J180" s="33" t="s"/>
      <c r="K180" s="67">
        <f>=I180-J160</f>
        <v>10.4366666666666</v>
      </c>
      <c r="L180" s="41">
        <f>=K180/J160</f>
        <v>0.0289053628633941</v>
      </c>
      <c r="M180" s="64" t="s"/>
      <c r="N180" s="47" t="s"/>
      <c r="O180" s="68" t="s"/>
      <c r="P180" s="69" t="e">
        <f>=AVERAGE(O180:O189)</f>
        <v>#DIV/0!</v>
      </c>
      <c r="Q180" s="40" t="e">
        <f>=O180-P180</f>
        <v>#DIV/0!</v>
      </c>
      <c r="R180" s="41" t="e">
        <f>=Q180/P180</f>
        <v>#DIV/0!</v>
      </c>
      <c r="S180" s="76" t="s"/>
      <c r="T180" s="43" t="e">
        <f>=AVERAGE(S180:S184)</f>
        <v>#DIV/0!</v>
      </c>
      <c r="U180" s="48" t="s"/>
      <c r="V180" s="4" t="s"/>
      <c r="W180" s="94" t="s"/>
      <c r="X180" s="95" t="s"/>
    </row>
    <row r="181" spans="1:24">
      <c r="A181" s="4" t="s"/>
      <c r="B181" s="77">
        <v>10.85</v>
      </c>
      <c r="C181" s="4">
        <v>1000</v>
      </c>
      <c r="D181" s="4">
        <v>99</v>
      </c>
      <c r="E181" s="29">
        <v>40</v>
      </c>
      <c r="F181" s="46">
        <v>250</v>
      </c>
      <c r="G181" s="46">
        <v>2.6</v>
      </c>
      <c r="H181" s="46">
        <v>0.5</v>
      </c>
      <c r="I181" s="99">
        <v>365.6</v>
      </c>
      <c r="J181" s="33" t="s"/>
      <c r="K181" s="67">
        <f>=I181-J160</f>
        <v>4.53666666666663</v>
      </c>
      <c r="L181" s="41">
        <f>=K181/J160</f>
        <v>0.0125647393347427</v>
      </c>
      <c r="M181" s="64" t="s"/>
      <c r="N181" s="47" t="s"/>
      <c r="O181" s="68" t="s"/>
      <c r="P181" s="64" t="s"/>
      <c r="Q181" s="40" t="e">
        <f>=O181-P180</f>
        <v>#DIV/0!</v>
      </c>
      <c r="R181" s="41" t="e">
        <f>=Q181/P180</f>
        <v>#DIV/0!</v>
      </c>
      <c r="S181" s="76" t="s"/>
      <c r="T181" s="50" t="s"/>
      <c r="U181" s="48" t="s"/>
      <c r="V181" s="4" t="s"/>
      <c r="W181" s="94" t="s"/>
      <c r="X181" s="95" t="s"/>
    </row>
    <row r="182" spans="1:24">
      <c r="A182" s="4" t="s"/>
      <c r="B182" s="77">
        <v>10.85</v>
      </c>
      <c r="C182" s="4">
        <v>1000</v>
      </c>
      <c r="D182" s="4">
        <v>99</v>
      </c>
      <c r="E182" s="29">
        <v>40</v>
      </c>
      <c r="F182" s="46">
        <v>250</v>
      </c>
      <c r="G182" s="46">
        <v>2.6</v>
      </c>
      <c r="H182" s="46">
        <v>0.5</v>
      </c>
      <c r="I182" s="99">
        <v>367.4</v>
      </c>
      <c r="J182" s="33" t="s"/>
      <c r="K182" s="67">
        <f>=I182-J160</f>
        <v>6.33666666666659</v>
      </c>
      <c r="L182" s="41">
        <f>=K182/J160</f>
        <v>0.0175500143095854</v>
      </c>
      <c r="M182" s="64" t="s"/>
      <c r="N182" s="47" t="s"/>
      <c r="O182" s="68" t="s"/>
      <c r="P182" s="64" t="s"/>
      <c r="Q182" s="40" t="e">
        <f>=O182-P180</f>
        <v>#DIV/0!</v>
      </c>
      <c r="R182" s="41" t="e">
        <f>=Q182/P180</f>
        <v>#DIV/0!</v>
      </c>
      <c r="S182" s="76" t="s"/>
      <c r="T182" s="50" t="s"/>
      <c r="U182" s="48" t="s"/>
      <c r="V182" s="4" t="s"/>
      <c r="W182" s="94" t="s"/>
      <c r="X182" s="95" t="s"/>
    </row>
    <row r="183" spans="1:24">
      <c r="A183" s="4" t="s"/>
      <c r="B183" s="77">
        <v>10.85</v>
      </c>
      <c r="C183" s="4">
        <v>1000</v>
      </c>
      <c r="D183" s="4">
        <v>99</v>
      </c>
      <c r="E183" s="29">
        <v>40</v>
      </c>
      <c r="F183" s="46">
        <v>250</v>
      </c>
      <c r="G183" s="46">
        <v>2.6</v>
      </c>
      <c r="H183" s="46">
        <v>0.5</v>
      </c>
      <c r="I183" s="99">
        <v>373.1</v>
      </c>
      <c r="J183" s="33" t="s"/>
      <c r="K183" s="67">
        <f>=I183-J160</f>
        <v>12.0366666666666</v>
      </c>
      <c r="L183" s="41">
        <f>=K183/J160</f>
        <v>0.0333367183965878</v>
      </c>
      <c r="M183" s="64" t="s"/>
      <c r="N183" s="47" t="s"/>
      <c r="O183" s="68" t="s"/>
      <c r="P183" s="64" t="s"/>
      <c r="Q183" s="40" t="e">
        <f>=O183-P180</f>
        <v>#DIV/0!</v>
      </c>
      <c r="R183" s="41" t="e">
        <f>=Q183/P180</f>
        <v>#DIV/0!</v>
      </c>
      <c r="S183" s="76" t="s"/>
      <c r="T183" s="50" t="s"/>
      <c r="U183" s="48" t="s"/>
      <c r="V183" s="4" t="s"/>
      <c r="W183" s="94" t="s"/>
      <c r="X183" s="95" t="s"/>
    </row>
    <row r="184" spans="1:24">
      <c r="A184" s="4" t="s"/>
      <c r="B184" s="77">
        <v>10.85</v>
      </c>
      <c r="C184" s="4">
        <v>1000</v>
      </c>
      <c r="D184" s="4">
        <v>99</v>
      </c>
      <c r="E184" s="29">
        <v>40</v>
      </c>
      <c r="F184" s="46">
        <v>250</v>
      </c>
      <c r="G184" s="46">
        <v>2.6</v>
      </c>
      <c r="H184" s="46">
        <v>0.5</v>
      </c>
      <c r="I184" s="99">
        <v>374.1</v>
      </c>
      <c r="J184" s="33" t="s"/>
      <c r="K184" s="67">
        <f>=I184-J160</f>
        <v>13.0366666666666</v>
      </c>
      <c r="L184" s="41">
        <f>=K184/J160</f>
        <v>0.0361063156048338</v>
      </c>
      <c r="M184" s="64" t="s"/>
      <c r="N184" s="47" t="s"/>
      <c r="O184" s="68" t="s"/>
      <c r="P184" s="64" t="s"/>
      <c r="Q184" s="40" t="e">
        <f>=O184-P180</f>
        <v>#DIV/0!</v>
      </c>
      <c r="R184" s="41" t="e">
        <f>=Q184/P180</f>
        <v>#DIV/0!</v>
      </c>
      <c r="S184" s="76" t="s"/>
      <c r="T184" s="50" t="s"/>
      <c r="U184" s="48" t="s"/>
      <c r="V184" s="4" t="s"/>
      <c r="W184" s="94" t="s"/>
      <c r="X184" s="95" t="s"/>
    </row>
    <row r="185" spans="1:24">
      <c r="A185" s="4" t="s"/>
      <c r="B185" s="77">
        <v>10.85</v>
      </c>
      <c r="C185" s="4">
        <v>1000</v>
      </c>
      <c r="D185" s="4">
        <v>99</v>
      </c>
      <c r="E185" s="29">
        <v>40</v>
      </c>
      <c r="F185" s="46">
        <v>250</v>
      </c>
      <c r="G185" s="46">
        <v>2.6</v>
      </c>
      <c r="H185" s="46">
        <v>0.5</v>
      </c>
      <c r="I185" s="99">
        <v>368.7</v>
      </c>
      <c r="J185" s="33" t="s"/>
      <c r="K185" s="67">
        <f>=I185-J160</f>
        <v>7.6366666666666</v>
      </c>
      <c r="L185" s="41">
        <f>=K185/J160</f>
        <v>0.0211504906803052</v>
      </c>
      <c r="M185" s="64" t="s"/>
      <c r="N185" s="47" t="s"/>
      <c r="O185" s="68" t="s"/>
      <c r="P185" s="64" t="s"/>
      <c r="Q185" s="40" t="e">
        <f>=O185-P180</f>
        <v>#DIV/0!</v>
      </c>
      <c r="R185" s="41" t="e">
        <f>=Q185/P180</f>
        <v>#DIV/0!</v>
      </c>
      <c r="S185" s="52" t="s">
        <v>32</v>
      </c>
      <c r="T185" s="50" t="s"/>
      <c r="U185" s="48" t="s"/>
      <c r="V185" s="4" t="s"/>
      <c r="W185" s="94" t="s"/>
      <c r="X185" s="95" t="s"/>
    </row>
    <row r="186" spans="1:24">
      <c r="A186" s="4" t="s"/>
      <c r="B186" s="77">
        <v>10.85</v>
      </c>
      <c r="C186" s="4">
        <v>1000</v>
      </c>
      <c r="D186" s="4">
        <v>99</v>
      </c>
      <c r="E186" s="29">
        <v>40</v>
      </c>
      <c r="F186" s="46">
        <v>250</v>
      </c>
      <c r="G186" s="46">
        <v>2.6</v>
      </c>
      <c r="H186" s="46">
        <v>0.5</v>
      </c>
      <c r="I186" s="99">
        <v>370.1</v>
      </c>
      <c r="J186" s="33" t="s"/>
      <c r="K186" s="67">
        <f>=I186-J160</f>
        <v>9.03666666666664</v>
      </c>
      <c r="L186" s="41">
        <f>=K186/J160</f>
        <v>0.0250279267718497</v>
      </c>
      <c r="M186" s="64" t="s"/>
      <c r="N186" s="47" t="s"/>
      <c r="O186" s="68" t="s"/>
      <c r="P186" s="64" t="s"/>
      <c r="Q186" s="40" t="e">
        <f>=O186-P180</f>
        <v>#DIV/0!</v>
      </c>
      <c r="R186" s="41" t="e">
        <f>=Q186/P180</f>
        <v>#DIV/0!</v>
      </c>
      <c r="S186" s="53" t="s"/>
      <c r="T186" s="50" t="s"/>
      <c r="U186" s="48" t="s"/>
      <c r="V186" s="4" t="s"/>
      <c r="W186" s="94" t="s"/>
      <c r="X186" s="95" t="s"/>
    </row>
    <row r="187" spans="1:24">
      <c r="A187" s="4" t="s"/>
      <c r="B187" s="77">
        <v>10.85</v>
      </c>
      <c r="C187" s="4">
        <v>1000</v>
      </c>
      <c r="D187" s="4">
        <v>99</v>
      </c>
      <c r="E187" s="29">
        <v>40</v>
      </c>
      <c r="F187" s="46">
        <v>250</v>
      </c>
      <c r="G187" s="46">
        <v>2.6</v>
      </c>
      <c r="H187" s="46">
        <v>0.5</v>
      </c>
      <c r="I187" s="99">
        <v>370</v>
      </c>
      <c r="J187" s="33" t="s"/>
      <c r="K187" s="67">
        <f>=I187-J160</f>
        <v>8.93666666666661</v>
      </c>
      <c r="L187" s="41">
        <f>=K187/J160</f>
        <v>0.0247509670510251</v>
      </c>
      <c r="M187" s="64" t="s"/>
      <c r="N187" s="47" t="s"/>
      <c r="O187" s="68" t="s"/>
      <c r="P187" s="64" t="s"/>
      <c r="Q187" s="40" t="e">
        <f>=O187-P180</f>
        <v>#DIV/0!</v>
      </c>
      <c r="R187" s="41" t="e">
        <f>=Q187/P180</f>
        <v>#DIV/0!</v>
      </c>
      <c r="S187" s="53" t="s"/>
      <c r="T187" s="50" t="s"/>
      <c r="U187" s="48" t="s"/>
      <c r="V187" s="4" t="s"/>
      <c r="W187" s="94" t="s"/>
      <c r="X187" s="95" t="s"/>
    </row>
    <row r="188" spans="1:24">
      <c r="A188" s="4" t="s"/>
      <c r="B188" s="77">
        <v>10.85</v>
      </c>
      <c r="C188" s="4">
        <v>1000</v>
      </c>
      <c r="D188" s="4">
        <v>99</v>
      </c>
      <c r="E188" s="29">
        <v>40</v>
      </c>
      <c r="F188" s="46">
        <v>250</v>
      </c>
      <c r="G188" s="46">
        <v>2.6</v>
      </c>
      <c r="H188" s="46">
        <v>0.5</v>
      </c>
      <c r="I188" s="99">
        <v>380.9</v>
      </c>
      <c r="J188" s="33" t="s"/>
      <c r="K188" s="67">
        <f>=I188-J160</f>
        <v>19.8366666666666</v>
      </c>
      <c r="L188" s="41">
        <f>=K188/J160</f>
        <v>0.0549395766209065</v>
      </c>
      <c r="M188" s="64" t="s"/>
      <c r="N188" s="47" t="s"/>
      <c r="O188" s="68" t="s"/>
      <c r="P188" s="64" t="s"/>
      <c r="Q188" s="40" t="e">
        <f>=O188-P180</f>
        <v>#DIV/0!</v>
      </c>
      <c r="R188" s="41" t="e">
        <f>=Q188/P180</f>
        <v>#DIV/0!</v>
      </c>
      <c r="S188" s="53" t="s"/>
      <c r="T188" s="50" t="s"/>
      <c r="U188" s="48" t="s"/>
      <c r="V188" s="4" t="s"/>
      <c r="W188" s="94" t="s"/>
      <c r="X188" s="95" t="s"/>
    </row>
    <row r="189" spans="1:24">
      <c r="A189" s="4" t="s"/>
      <c r="B189" s="77">
        <v>10.85</v>
      </c>
      <c r="C189" s="4">
        <v>1000</v>
      </c>
      <c r="D189" s="4">
        <v>99</v>
      </c>
      <c r="E189" s="29">
        <v>40</v>
      </c>
      <c r="F189" s="46">
        <v>250</v>
      </c>
      <c r="G189" s="46">
        <v>2.6</v>
      </c>
      <c r="H189" s="46">
        <v>0.5</v>
      </c>
      <c r="I189" s="99">
        <v>375.9</v>
      </c>
      <c r="J189" s="33" t="s"/>
      <c r="K189" s="67">
        <f>=I189-J160</f>
        <v>14.8366666666666</v>
      </c>
      <c r="L189" s="41">
        <f>=K189/J160</f>
        <v>0.0410915905796765</v>
      </c>
      <c r="M189" s="70" t="s"/>
      <c r="N189" s="71" t="s"/>
      <c r="O189" s="68" t="s"/>
      <c r="P189" s="70" t="s"/>
      <c r="Q189" s="40" t="e">
        <f>=O189-P180</f>
        <v>#DIV/0!</v>
      </c>
      <c r="R189" s="41" t="e">
        <f>=Q189/P180</f>
        <v>#DIV/0!</v>
      </c>
      <c r="S189" s="55" t="s"/>
      <c r="T189" s="56" t="s"/>
      <c r="U189" s="19" t="s"/>
      <c r="V189" s="4" t="s"/>
      <c r="W189" s="96" t="s"/>
      <c r="X189" s="97" t="s"/>
    </row>
  </sheetData>
  <mergeCells count="94">
    <mergeCell ref="B2:D2"/>
    <mergeCell ref="F2:N2"/>
    <mergeCell ref="O2:T2"/>
    <mergeCell ref="I3:J3"/>
    <mergeCell ref="K3:L3"/>
    <mergeCell ref="M3:N3"/>
    <mergeCell ref="O3:P3"/>
    <mergeCell ref="Q3:R3"/>
    <mergeCell ref="S3:T3"/>
    <mergeCell ref="A2:A3"/>
    <mergeCell ref="J5:J34"/>
    <mergeCell ref="J36:J65"/>
    <mergeCell ref="J67:J96"/>
    <mergeCell ref="J98:J127"/>
    <mergeCell ref="J129:J158"/>
    <mergeCell ref="J160:J189"/>
    <mergeCell ref="M20:M34"/>
    <mergeCell ref="M51:M65"/>
    <mergeCell ref="M82:M96"/>
    <mergeCell ref="M113:M127"/>
    <mergeCell ref="M144:M158"/>
    <mergeCell ref="M175:M189"/>
    <mergeCell ref="N5:N34"/>
    <mergeCell ref="N36:N65"/>
    <mergeCell ref="N67:N96"/>
    <mergeCell ref="N98:N127"/>
    <mergeCell ref="N129:N158"/>
    <mergeCell ref="N160:N189"/>
    <mergeCell ref="P5:P14"/>
    <mergeCell ref="P15:P24"/>
    <mergeCell ref="P25:P34"/>
    <mergeCell ref="P36:P45"/>
    <mergeCell ref="P46:P55"/>
    <mergeCell ref="P56:P65"/>
    <mergeCell ref="P67:P76"/>
    <mergeCell ref="P77:P86"/>
    <mergeCell ref="P87:P96"/>
    <mergeCell ref="P98:P107"/>
    <mergeCell ref="P108:P117"/>
    <mergeCell ref="P118:P127"/>
    <mergeCell ref="P129:P138"/>
    <mergeCell ref="P139:P148"/>
    <mergeCell ref="P149:P158"/>
    <mergeCell ref="P160:P169"/>
    <mergeCell ref="P170:P179"/>
    <mergeCell ref="P180:P189"/>
    <mergeCell ref="S10:S14"/>
    <mergeCell ref="S20:S24"/>
    <mergeCell ref="S30:S34"/>
    <mergeCell ref="S41:S45"/>
    <mergeCell ref="S51:S55"/>
    <mergeCell ref="S61:S65"/>
    <mergeCell ref="S72:S76"/>
    <mergeCell ref="S82:S86"/>
    <mergeCell ref="S92:S96"/>
    <mergeCell ref="S103:S107"/>
    <mergeCell ref="S113:S117"/>
    <mergeCell ref="S123:S127"/>
    <mergeCell ref="S134:S138"/>
    <mergeCell ref="S144:S148"/>
    <mergeCell ref="S154:S158"/>
    <mergeCell ref="S165:S169"/>
    <mergeCell ref="S175:S179"/>
    <mergeCell ref="S185:S189"/>
    <mergeCell ref="T5:T14"/>
    <mergeCell ref="T15:T24"/>
    <mergeCell ref="T25:T34"/>
    <mergeCell ref="T36:T45"/>
    <mergeCell ref="T46:T55"/>
    <mergeCell ref="T56:T65"/>
    <mergeCell ref="T67:T76"/>
    <mergeCell ref="T77:T86"/>
    <mergeCell ref="T87:T96"/>
    <mergeCell ref="T98:T107"/>
    <mergeCell ref="T108:T117"/>
    <mergeCell ref="T118:T127"/>
    <mergeCell ref="T129:T138"/>
    <mergeCell ref="T139:T148"/>
    <mergeCell ref="T149:T158"/>
    <mergeCell ref="T160:T169"/>
    <mergeCell ref="T170:T179"/>
    <mergeCell ref="T180:T189"/>
    <mergeCell ref="U5:U34"/>
    <mergeCell ref="U36:U65"/>
    <mergeCell ref="U67:U96"/>
    <mergeCell ref="U98:U127"/>
    <mergeCell ref="U129:U158"/>
    <mergeCell ref="U160:U189"/>
    <mergeCell ref="W4:X34"/>
    <mergeCell ref="W36:X65"/>
    <mergeCell ref="W67:X96"/>
    <mergeCell ref="W98:X127"/>
    <mergeCell ref="W129:X158"/>
    <mergeCell ref="W160:X189"/>
  </mergeCells>
  <pageMargins left="0.75" right="0.75" top="1" bottom="1" header="0.5" footer="0.5"/>
  <pageSetup paperSize="9" orientation="portrait"/>
  <headerFooter/>
  <legacyDrawing r:id="rId1"/>
</worksheet>
</file>

<file path=xl/worksheets/sheet2.xml><?xml version="1.0" encoding="utf-8"?>
<worksheet xmlns="http://schemas.openxmlformats.org/spreadsheetml/2006/main">
  <sheetPr/>
  <dimension ref="Z186"/>
  <sheetViews>
    <sheetView showGridLines="1" topLeftCell="B1" zoomScale="85" zoomScaleNormal="85" workbookViewId="0"/>
  </sheetViews>
  <sheetFormatPr defaultColWidth="9" defaultRowHeight="14"/>
  <cols>
    <col min="1" max="1" width="17.3727" style="100" customWidth="1"/>
    <col min="2" max="2" width="17.8727" style="100" customWidth="1"/>
    <col min="3" max="3" width="21.5" style="100" customWidth="1"/>
    <col min="4" max="5" width="15.3727" style="100" customWidth="1"/>
    <col min="6" max="6" width="27.8727" style="100" customWidth="1"/>
    <col min="7" max="7" width="21.5" style="100" customWidth="1"/>
    <col min="8" max="9" width="15.3727" style="100" customWidth="1"/>
    <col min="10" max="10" width="27.8727" style="100" customWidth="1"/>
    <col min="11" max="11" width="11" style="100" customWidth="1"/>
    <col min="12" max="12" width="21" style="100" customWidth="1"/>
    <col min="13" max="26" width="9" style="100"/>
  </cols>
  <sheetData>
    <row r="1" spans="1:12" ht="16.5">
      <c r="A1" s="81" t="s">
        <v>56</v>
      </c>
      <c r="B1" s="81" t="s">
        <v>57</v>
      </c>
      <c r="C1" s="81" t="s">
        <v>58</v>
      </c>
      <c r="D1" s="81" t="s">
        <v>59</v>
      </c>
      <c r="E1" s="81" t="s">
        <v>60</v>
      </c>
      <c r="F1" s="81" t="s">
        <v>61</v>
      </c>
      <c r="G1" s="81" t="s">
        <v>62</v>
      </c>
      <c r="H1" s="81" t="s">
        <v>63</v>
      </c>
      <c r="I1" s="81" t="s">
        <v>64</v>
      </c>
      <c r="J1" s="81" t="s">
        <v>65</v>
      </c>
      <c r="K1" s="81" t="s">
        <v>66</v>
      </c>
      <c r="L1" s="81" t="s">
        <v>67</v>
      </c>
    </row>
    <row r="2" spans="1:12">
      <c r="A2" s="81">
        <v>15</v>
      </c>
      <c r="B2" s="81" t="s"/>
      <c r="C2" s="81" t="s"/>
      <c r="D2" s="81" t="s"/>
      <c r="E2" s="81" t="s"/>
      <c r="F2" s="81">
        <f>=E2-D2</f>
        <v>0</v>
      </c>
      <c r="G2" s="81" t="s"/>
      <c r="H2" s="81" t="s"/>
      <c r="I2" s="81" t="s"/>
      <c r="J2" s="81">
        <f>=I2-H2</f>
        <v>0</v>
      </c>
      <c r="K2" s="81">
        <f>=C2*F2+G2*J2</f>
        <v>0</v>
      </c>
      <c r="L2" s="81">
        <f>=K2*B2</f>
        <v>0</v>
      </c>
    </row>
    <row r="3" spans="1:12">
      <c r="A3" s="81">
        <v>15</v>
      </c>
      <c r="B3" s="81" t="s"/>
      <c r="C3" s="81" t="s"/>
      <c r="D3" s="81" t="s"/>
      <c r="E3" s="81" t="s"/>
      <c r="F3" s="81">
        <f>=E3-D3</f>
        <v>0</v>
      </c>
      <c r="G3" s="81" t="s"/>
      <c r="H3" s="81" t="s"/>
      <c r="I3" s="81" t="s"/>
      <c r="J3" s="81">
        <f>=I3-H3</f>
        <v>0</v>
      </c>
      <c r="K3" s="81">
        <f>=C3*F3+G3*J3</f>
        <v>0</v>
      </c>
      <c r="L3" s="81">
        <f>=K3*B3</f>
        <v>0</v>
      </c>
    </row>
    <row r="4" spans="1:12">
      <c r="A4" s="81">
        <v>15</v>
      </c>
      <c r="B4" s="81" t="s"/>
      <c r="C4" s="81" t="s"/>
      <c r="D4" s="81" t="s"/>
      <c r="E4" s="81" t="s"/>
      <c r="F4" s="81">
        <f>=E4-D4</f>
        <v>0</v>
      </c>
      <c r="G4" s="81" t="s"/>
      <c r="H4" s="81" t="s"/>
      <c r="I4" s="81" t="s"/>
      <c r="J4" s="81">
        <f>=I4-H4</f>
        <v>0</v>
      </c>
      <c r="K4" s="81">
        <f>=C4*F4+G4*J4</f>
        <v>0</v>
      </c>
      <c r="L4" s="81">
        <f>=K4*B4</f>
        <v>0</v>
      </c>
    </row>
    <row r="5" spans="1:12">
      <c r="A5" s="81">
        <v>15</v>
      </c>
      <c r="B5" s="81" t="s"/>
      <c r="C5" s="81" t="s"/>
      <c r="D5" s="81" t="s"/>
      <c r="E5" s="81" t="s"/>
      <c r="F5" s="81">
        <f>=E5-D5</f>
        <v>0</v>
      </c>
      <c r="G5" s="81" t="s"/>
      <c r="H5" s="81" t="s"/>
      <c r="I5" s="81" t="s"/>
      <c r="J5" s="81">
        <f>=I5-H5</f>
        <v>0</v>
      </c>
      <c r="K5" s="81">
        <f>=C5*F5+G5*J5</f>
        <v>0</v>
      </c>
      <c r="L5" s="81">
        <f>=K5*B5</f>
        <v>0</v>
      </c>
    </row>
    <row r="6" spans="1:12">
      <c r="A6" s="81">
        <v>15</v>
      </c>
      <c r="B6" s="81" t="s"/>
      <c r="C6" s="81" t="s"/>
      <c r="D6" s="81" t="s"/>
      <c r="E6" s="81" t="s"/>
      <c r="F6" s="81">
        <f>=E6-D6</f>
        <v>0</v>
      </c>
      <c r="G6" s="81" t="s"/>
      <c r="H6" s="81" t="s"/>
      <c r="I6" s="81" t="s"/>
      <c r="J6" s="81">
        <f>=I6-H6</f>
        <v>0</v>
      </c>
      <c r="K6" s="81">
        <f>=C6*F6+G6*J6</f>
        <v>0</v>
      </c>
      <c r="L6" s="81">
        <f>=K6*B6</f>
        <v>0</v>
      </c>
    </row>
    <row r="7" spans="1:12">
      <c r="A7" s="81">
        <v>15</v>
      </c>
      <c r="B7" s="81" t="s"/>
      <c r="C7" s="81" t="s"/>
      <c r="D7" s="81" t="s"/>
      <c r="E7" s="81" t="s"/>
      <c r="F7" s="81">
        <f>=E7-D7</f>
        <v>0</v>
      </c>
      <c r="G7" s="81" t="s"/>
      <c r="H7" s="81" t="s"/>
      <c r="I7" s="81" t="s"/>
      <c r="J7" s="81">
        <f>=I7-H7</f>
        <v>0</v>
      </c>
      <c r="K7" s="81">
        <f>=C7*F7+G7*J7</f>
        <v>0</v>
      </c>
      <c r="L7" s="81">
        <f>=K7*B7</f>
        <v>0</v>
      </c>
    </row>
    <row r="8" spans="1:12">
      <c r="A8" s="81">
        <v>15</v>
      </c>
      <c r="B8" s="81" t="s"/>
      <c r="C8" s="81" t="s"/>
      <c r="D8" s="81" t="s"/>
      <c r="E8" s="81" t="s"/>
      <c r="F8" s="81">
        <f>=E8-D8</f>
        <v>0</v>
      </c>
      <c r="G8" s="81" t="s"/>
      <c r="H8" s="81" t="s"/>
      <c r="I8" s="81" t="s"/>
      <c r="J8" s="81">
        <f>=I8-H8</f>
        <v>0</v>
      </c>
      <c r="K8" s="81">
        <f>=C8*F8+G8*J8</f>
        <v>0</v>
      </c>
      <c r="L8" s="81">
        <f>=K8*B8</f>
        <v>0</v>
      </c>
    </row>
    <row r="9" spans="1:12">
      <c r="A9" s="81">
        <v>15</v>
      </c>
      <c r="B9" s="81" t="s"/>
      <c r="C9" s="81" t="s"/>
      <c r="D9" s="81" t="s"/>
      <c r="E9" s="81" t="s"/>
      <c r="F9" s="81">
        <f>=E9-D9</f>
        <v>0</v>
      </c>
      <c r="G9" s="81" t="s"/>
      <c r="H9" s="81" t="s"/>
      <c r="I9" s="81" t="s"/>
      <c r="J9" s="81">
        <f>=I9-H9</f>
        <v>0</v>
      </c>
      <c r="K9" s="81">
        <f>=C9*F9+G9*J9</f>
        <v>0</v>
      </c>
      <c r="L9" s="81">
        <f>=K9*B9</f>
        <v>0</v>
      </c>
    </row>
    <row r="10" spans="1:12">
      <c r="A10" s="81">
        <v>15</v>
      </c>
      <c r="B10" s="81" t="s"/>
      <c r="C10" s="81" t="s"/>
      <c r="D10" s="81" t="s"/>
      <c r="E10" s="81" t="s"/>
      <c r="F10" s="81">
        <f>=E10-D10</f>
        <v>0</v>
      </c>
      <c r="G10" s="81" t="s"/>
      <c r="H10" s="81" t="s"/>
      <c r="I10" s="81" t="s"/>
      <c r="J10" s="81">
        <f>=I10-H10</f>
        <v>0</v>
      </c>
      <c r="K10" s="81">
        <f>=C10*F10+G10*J10</f>
        <v>0</v>
      </c>
      <c r="L10" s="81">
        <f>=K10*B10</f>
        <v>0</v>
      </c>
    </row>
    <row r="11" spans="1:12">
      <c r="A11" s="81">
        <v>15</v>
      </c>
      <c r="B11" s="81" t="s"/>
      <c r="C11" s="81" t="s"/>
      <c r="D11" s="81" t="s"/>
      <c r="E11" s="81" t="s"/>
      <c r="F11" s="81">
        <f>=E11-D11</f>
        <v>0</v>
      </c>
      <c r="G11" s="81" t="s"/>
      <c r="H11" s="81" t="s"/>
      <c r="I11" s="81" t="s"/>
      <c r="J11" s="81">
        <f>=I11-H11</f>
        <v>0</v>
      </c>
      <c r="K11" s="81">
        <f>=C11*F11+G11*J11</f>
        <v>0</v>
      </c>
      <c r="L11" s="81">
        <f>=K11*B11</f>
        <v>0</v>
      </c>
    </row>
    <row r="12" spans="1:12">
      <c r="A12" s="81">
        <v>15</v>
      </c>
      <c r="B12" s="81" t="s"/>
      <c r="C12" s="81" t="s"/>
      <c r="D12" s="81" t="s"/>
      <c r="E12" s="81" t="s"/>
      <c r="F12" s="81">
        <f>=E12-D12</f>
        <v>0</v>
      </c>
      <c r="G12" s="81" t="s"/>
      <c r="H12" s="81" t="s"/>
      <c r="I12" s="81" t="s"/>
      <c r="J12" s="81">
        <f>=I12-H12</f>
        <v>0</v>
      </c>
      <c r="K12" s="81">
        <f>=C12*F12+G12*J12</f>
        <v>0</v>
      </c>
      <c r="L12" s="81">
        <f>=K12*B12</f>
        <v>0</v>
      </c>
    </row>
    <row r="13" spans="1:12">
      <c r="A13" s="81">
        <v>15</v>
      </c>
      <c r="B13" s="81" t="s"/>
      <c r="C13" s="81" t="s"/>
      <c r="D13" s="81" t="s"/>
      <c r="E13" s="81" t="s"/>
      <c r="F13" s="81">
        <f>=E13-D13</f>
        <v>0</v>
      </c>
      <c r="G13" s="81" t="s"/>
      <c r="H13" s="81" t="s"/>
      <c r="I13" s="81" t="s"/>
      <c r="J13" s="81">
        <f>=I13-H13</f>
        <v>0</v>
      </c>
      <c r="K13" s="81">
        <f>=C13*F13+G13*J13</f>
        <v>0</v>
      </c>
      <c r="L13" s="81">
        <f>=K13*B13</f>
        <v>0</v>
      </c>
    </row>
    <row r="14" spans="1:12">
      <c r="A14" s="81">
        <v>15</v>
      </c>
      <c r="B14" s="81" t="s"/>
      <c r="C14" s="81" t="s"/>
      <c r="D14" s="81" t="s"/>
      <c r="E14" s="81" t="s"/>
      <c r="F14" s="81">
        <f>=E14-D14</f>
        <v>0</v>
      </c>
      <c r="G14" s="81" t="s"/>
      <c r="H14" s="81" t="s"/>
      <c r="I14" s="81" t="s"/>
      <c r="J14" s="81">
        <f>=I14-H14</f>
        <v>0</v>
      </c>
      <c r="K14" s="81">
        <f>=C14*F14+G14*J14</f>
        <v>0</v>
      </c>
      <c r="L14" s="81">
        <f>=K14*B14</f>
        <v>0</v>
      </c>
    </row>
    <row r="15" spans="1:12">
      <c r="A15" s="81">
        <v>15</v>
      </c>
      <c r="B15" s="81" t="s"/>
      <c r="C15" s="81" t="s"/>
      <c r="D15" s="81" t="s"/>
      <c r="E15" s="81" t="s"/>
      <c r="F15" s="81">
        <f>=E15-D15</f>
        <v>0</v>
      </c>
      <c r="G15" s="81" t="s"/>
      <c r="H15" s="81" t="s"/>
      <c r="I15" s="81" t="s"/>
      <c r="J15" s="81">
        <f>=I15-H15</f>
        <v>0</v>
      </c>
      <c r="K15" s="81">
        <f>=C15*F15+G15*J15</f>
        <v>0</v>
      </c>
      <c r="L15" s="81">
        <f>=K15*B15</f>
        <v>0</v>
      </c>
    </row>
    <row r="16" spans="1:12">
      <c r="A16" s="81">
        <v>15</v>
      </c>
      <c r="B16" s="81" t="s"/>
      <c r="C16" s="81" t="s"/>
      <c r="D16" s="81" t="s"/>
      <c r="E16" s="81" t="s"/>
      <c r="F16" s="81">
        <f>=E16-D16</f>
        <v>0</v>
      </c>
      <c r="G16" s="81" t="s"/>
      <c r="H16" s="81" t="s"/>
      <c r="I16" s="81" t="s"/>
      <c r="J16" s="81">
        <f>=I16-H16</f>
        <v>0</v>
      </c>
      <c r="K16" s="81">
        <f>=C16*F16+G16*J16</f>
        <v>0</v>
      </c>
      <c r="L16" s="81">
        <f>=K16*B16</f>
        <v>0</v>
      </c>
    </row>
    <row r="17" spans="1:24">
      <c r="A17" s="87">
        <v>15</v>
      </c>
      <c r="B17" s="87" t="s"/>
      <c r="C17" s="87" t="s"/>
      <c r="D17" s="87" t="s"/>
      <c r="E17" s="87" t="s"/>
      <c r="F17" s="87">
        <f>=E17-D17</f>
        <v>0</v>
      </c>
      <c r="G17" s="87" t="s"/>
      <c r="H17" s="87" t="s"/>
      <c r="I17" s="87" t="s"/>
      <c r="J17" s="87">
        <f>=I17-H17</f>
        <v>0</v>
      </c>
      <c r="K17" s="87">
        <f>=C17*F17+G17*J17</f>
        <v>0</v>
      </c>
      <c r="L17" s="87">
        <f>=K17*B17</f>
        <v>0</v>
      </c>
      <c r="M17" s="88" t="s"/>
      <c r="N17" s="88" t="s"/>
      <c r="O17" s="88" t="s"/>
      <c r="P17" s="88" t="s"/>
      <c r="Q17" s="88" t="s"/>
      <c r="R17" s="88">
        <f>=Q17-P17</f>
        <v>0</v>
      </c>
      <c r="S17" s="88" t="s"/>
      <c r="T17" s="88" t="s"/>
      <c r="U17" s="88" t="s"/>
      <c r="V17" s="88">
        <f>=U17-T17</f>
        <v>0</v>
      </c>
      <c r="W17" s="88">
        <f>=O17*R17+S17*V17</f>
        <v>0</v>
      </c>
      <c r="X17" s="88">
        <f>=W17*N17</f>
        <v>0</v>
      </c>
    </row>
    <row r="18" spans="1:24">
      <c r="A18" s="87">
        <v>15</v>
      </c>
      <c r="B18" s="87" t="s"/>
      <c r="C18" s="87" t="s"/>
      <c r="D18" s="87" t="s"/>
      <c r="E18" s="87" t="s"/>
      <c r="F18" s="87">
        <f>=E18-D18</f>
        <v>0</v>
      </c>
      <c r="G18" s="87" t="s"/>
      <c r="H18" s="87" t="s"/>
      <c r="I18" s="87" t="s"/>
      <c r="J18" s="87">
        <f>=I18-H18</f>
        <v>0</v>
      </c>
      <c r="K18" s="87">
        <f>=C18*F18+G18*J18</f>
        <v>0</v>
      </c>
      <c r="L18" s="87">
        <f>=K18*B18</f>
        <v>0</v>
      </c>
      <c r="M18" s="88" t="s"/>
      <c r="N18" s="88" t="s"/>
      <c r="O18" s="88" t="s"/>
      <c r="P18" s="88" t="s"/>
      <c r="Q18" s="88" t="s"/>
      <c r="R18" s="88">
        <f>=Q18-P18</f>
        <v>0</v>
      </c>
      <c r="S18" s="88" t="s"/>
      <c r="T18" s="88" t="s"/>
      <c r="U18" s="88" t="s"/>
      <c r="V18" s="88">
        <f>=U18-T18</f>
        <v>0</v>
      </c>
      <c r="W18" s="88">
        <f>=O18*R18+S18*V18</f>
        <v>0</v>
      </c>
      <c r="X18" s="88">
        <f>=W18*N18</f>
        <v>0</v>
      </c>
    </row>
    <row r="19" spans="1:24">
      <c r="A19" s="87">
        <v>15</v>
      </c>
      <c r="B19" s="87" t="s"/>
      <c r="C19" s="87" t="s"/>
      <c r="D19" s="87" t="s"/>
      <c r="E19" s="87" t="s"/>
      <c r="F19" s="87">
        <f>=E19-D19</f>
        <v>0</v>
      </c>
      <c r="G19" s="87" t="s"/>
      <c r="H19" s="87" t="s"/>
      <c r="I19" s="87" t="s"/>
      <c r="J19" s="87">
        <f>=I19-H19</f>
        <v>0</v>
      </c>
      <c r="K19" s="87">
        <f>=C19*F19+G19*J19</f>
        <v>0</v>
      </c>
      <c r="L19" s="87">
        <f>=K19*B19</f>
        <v>0</v>
      </c>
      <c r="M19" s="88" t="s"/>
      <c r="N19" s="88" t="s"/>
      <c r="O19" s="88" t="s"/>
      <c r="P19" s="88" t="s"/>
      <c r="Q19" s="88" t="s"/>
      <c r="R19" s="88">
        <f>=Q19-P19</f>
        <v>0</v>
      </c>
      <c r="S19" s="88" t="s"/>
      <c r="T19" s="88" t="s"/>
      <c r="U19" s="88" t="s"/>
      <c r="V19" s="88">
        <f>=U19-T19</f>
        <v>0</v>
      </c>
      <c r="W19" s="88">
        <f>=O19*R19+S19*V19</f>
        <v>0</v>
      </c>
      <c r="X19" s="88">
        <f>=W19*N19</f>
        <v>0</v>
      </c>
    </row>
    <row r="20" spans="1:24">
      <c r="A20" s="87">
        <v>15</v>
      </c>
      <c r="B20" s="87" t="s"/>
      <c r="C20" s="87" t="s"/>
      <c r="D20" s="87" t="s"/>
      <c r="E20" s="87" t="s"/>
      <c r="F20" s="87">
        <f>=E20-D20</f>
        <v>0</v>
      </c>
      <c r="G20" s="87" t="s"/>
      <c r="H20" s="87" t="s"/>
      <c r="I20" s="87" t="s"/>
      <c r="J20" s="87">
        <f>=I20-H20</f>
        <v>0</v>
      </c>
      <c r="K20" s="87">
        <f>=C20*F20+G20*J20</f>
        <v>0</v>
      </c>
      <c r="L20" s="87">
        <f>=K20*B20</f>
        <v>0</v>
      </c>
      <c r="M20" s="88" t="s"/>
      <c r="N20" s="88" t="s"/>
      <c r="O20" s="88" t="s"/>
      <c r="P20" s="88" t="s"/>
      <c r="Q20" s="88" t="s"/>
      <c r="R20" s="88">
        <f>=Q20-P20</f>
        <v>0</v>
      </c>
      <c r="S20" s="88" t="s"/>
      <c r="T20" s="88" t="s"/>
      <c r="U20" s="88" t="s"/>
      <c r="V20" s="88">
        <f>=U20-T20</f>
        <v>0</v>
      </c>
      <c r="W20" s="88">
        <f>=O20*R20+S20*V20</f>
        <v>0</v>
      </c>
      <c r="X20" s="88">
        <f>=W20*N20</f>
        <v>0</v>
      </c>
    </row>
    <row r="21" spans="1:24">
      <c r="A21" s="87">
        <v>15</v>
      </c>
      <c r="B21" s="87" t="s"/>
      <c r="C21" s="87" t="s"/>
      <c r="D21" s="87" t="s"/>
      <c r="E21" s="87" t="s"/>
      <c r="F21" s="87">
        <f>=E21-D21</f>
        <v>0</v>
      </c>
      <c r="G21" s="87" t="s"/>
      <c r="H21" s="87" t="s"/>
      <c r="I21" s="87" t="s"/>
      <c r="J21" s="87">
        <f>=I21-H21</f>
        <v>0</v>
      </c>
      <c r="K21" s="87">
        <f>=C21*F21+G21*J21</f>
        <v>0</v>
      </c>
      <c r="L21" s="87">
        <f>=K21*B21</f>
        <v>0</v>
      </c>
      <c r="M21" s="88" t="s"/>
      <c r="N21" s="88" t="s"/>
      <c r="O21" s="88" t="s"/>
      <c r="P21" s="88" t="s"/>
      <c r="Q21" s="88" t="s"/>
      <c r="R21" s="88">
        <f>=Q21-P21</f>
        <v>0</v>
      </c>
      <c r="S21" s="88" t="s"/>
      <c r="T21" s="88" t="s"/>
      <c r="U21" s="88" t="s"/>
      <c r="V21" s="88">
        <f>=U21-T21</f>
        <v>0</v>
      </c>
      <c r="W21" s="88">
        <f>=O21*R21+S21*V21</f>
        <v>0</v>
      </c>
      <c r="X21" s="88">
        <f>=W21*N21</f>
        <v>0</v>
      </c>
    </row>
    <row r="22" spans="1:24">
      <c r="A22" s="87">
        <v>15</v>
      </c>
      <c r="B22" s="87" t="s"/>
      <c r="C22" s="87" t="s"/>
      <c r="D22" s="87" t="s"/>
      <c r="E22" s="87" t="s"/>
      <c r="F22" s="87">
        <f>=E22-D22</f>
        <v>0</v>
      </c>
      <c r="G22" s="87" t="s"/>
      <c r="H22" s="87" t="s"/>
      <c r="I22" s="87" t="s"/>
      <c r="J22" s="87">
        <f>=I22-H22</f>
        <v>0</v>
      </c>
      <c r="K22" s="87">
        <f>=C22*F22+G22*J22</f>
        <v>0</v>
      </c>
      <c r="L22" s="87">
        <f>=K22*B22</f>
        <v>0</v>
      </c>
      <c r="M22" s="88" t="s"/>
      <c r="N22" s="88" t="s"/>
      <c r="O22" s="88" t="s"/>
      <c r="P22" s="88" t="s"/>
      <c r="Q22" s="88" t="s"/>
      <c r="R22" s="88">
        <f>=Q22-P22</f>
        <v>0</v>
      </c>
      <c r="S22" s="88" t="s"/>
      <c r="T22" s="88" t="s"/>
      <c r="U22" s="88" t="s"/>
      <c r="V22" s="88">
        <f>=U22-T22</f>
        <v>0</v>
      </c>
      <c r="W22" s="88">
        <f>=O22*R22+S22*V22</f>
        <v>0</v>
      </c>
      <c r="X22" s="88">
        <f>=W22*N22</f>
        <v>0</v>
      </c>
    </row>
    <row r="23" spans="1:24">
      <c r="A23" s="87">
        <v>15</v>
      </c>
      <c r="B23" s="87" t="s"/>
      <c r="C23" s="87" t="s"/>
      <c r="D23" s="87" t="s"/>
      <c r="E23" s="87" t="s"/>
      <c r="F23" s="87">
        <f>=E23-D23</f>
        <v>0</v>
      </c>
      <c r="G23" s="87" t="s"/>
      <c r="H23" s="87" t="s"/>
      <c r="I23" s="87" t="s"/>
      <c r="J23" s="87">
        <f>=I23-H23</f>
        <v>0</v>
      </c>
      <c r="K23" s="87">
        <f>=C23*F23+G23*J23</f>
        <v>0</v>
      </c>
      <c r="L23" s="87">
        <f>=K23*B23</f>
        <v>0</v>
      </c>
      <c r="M23" s="88" t="s"/>
      <c r="N23" s="88" t="s"/>
      <c r="O23" s="88" t="s"/>
      <c r="P23" s="88" t="s"/>
      <c r="Q23" s="88" t="s"/>
      <c r="R23" s="88">
        <f>=Q23-P23</f>
        <v>0</v>
      </c>
      <c r="S23" s="88" t="s"/>
      <c r="T23" s="88" t="s"/>
      <c r="U23" s="88" t="s"/>
      <c r="V23" s="88">
        <f>=U23-T23</f>
        <v>0</v>
      </c>
      <c r="W23" s="88">
        <f>=O23*R23+S23*V23</f>
        <v>0</v>
      </c>
      <c r="X23" s="88">
        <f>=W23*N23</f>
        <v>0</v>
      </c>
    </row>
    <row r="24" spans="1:24">
      <c r="A24" s="87">
        <v>15</v>
      </c>
      <c r="B24" s="87" t="s"/>
      <c r="C24" s="87" t="s"/>
      <c r="D24" s="87" t="s"/>
      <c r="E24" s="87" t="s"/>
      <c r="F24" s="87">
        <f>=E24-D24</f>
        <v>0</v>
      </c>
      <c r="G24" s="87" t="s"/>
      <c r="H24" s="87" t="s"/>
      <c r="I24" s="87" t="s"/>
      <c r="J24" s="87">
        <f>=I24-H24</f>
        <v>0</v>
      </c>
      <c r="K24" s="87">
        <f>=C24*F24+G24*J24</f>
        <v>0</v>
      </c>
      <c r="L24" s="87">
        <f>=K24*B24</f>
        <v>0</v>
      </c>
      <c r="M24" s="88" t="s"/>
      <c r="N24" s="88" t="s"/>
      <c r="O24" s="88" t="s"/>
      <c r="P24" s="88" t="s"/>
      <c r="Q24" s="88" t="s"/>
      <c r="R24" s="88">
        <f>=Q24-P24</f>
        <v>0</v>
      </c>
      <c r="S24" s="88" t="s"/>
      <c r="T24" s="88" t="s"/>
      <c r="U24" s="88" t="s"/>
      <c r="V24" s="88">
        <f>=U24-T24</f>
        <v>0</v>
      </c>
      <c r="W24" s="88">
        <f>=O24*R24+S24*V24</f>
        <v>0</v>
      </c>
      <c r="X24" s="88">
        <f>=W24*N24</f>
        <v>0</v>
      </c>
    </row>
    <row r="25" spans="1:24">
      <c r="A25" s="87">
        <v>15</v>
      </c>
      <c r="B25" s="87" t="s"/>
      <c r="C25" s="87" t="s"/>
      <c r="D25" s="87" t="s"/>
      <c r="E25" s="87" t="s"/>
      <c r="F25" s="87">
        <f>=E25-D25</f>
        <v>0</v>
      </c>
      <c r="G25" s="87" t="s"/>
      <c r="H25" s="87" t="s"/>
      <c r="I25" s="87" t="s"/>
      <c r="J25" s="87">
        <f>=I25-H25</f>
        <v>0</v>
      </c>
      <c r="K25" s="87">
        <f>=C25*F25+G25*J25</f>
        <v>0</v>
      </c>
      <c r="L25" s="87">
        <f>=K25*B25</f>
        <v>0</v>
      </c>
      <c r="M25" s="88" t="s"/>
      <c r="N25" s="88" t="s"/>
      <c r="O25" s="88" t="s"/>
      <c r="P25" s="88" t="s"/>
      <c r="Q25" s="88" t="s"/>
      <c r="R25" s="88">
        <f>=Q25-P25</f>
        <v>0</v>
      </c>
      <c r="S25" s="88" t="s"/>
      <c r="T25" s="88" t="s"/>
      <c r="U25" s="88" t="s"/>
      <c r="V25" s="88">
        <f>=U25-T25</f>
        <v>0</v>
      </c>
      <c r="W25" s="88">
        <f>=O25*R25+S25*V25</f>
        <v>0</v>
      </c>
      <c r="X25" s="88">
        <f>=W25*N25</f>
        <v>0</v>
      </c>
    </row>
    <row r="26" spans="1:24">
      <c r="A26" s="87">
        <v>15</v>
      </c>
      <c r="B26" s="87" t="s"/>
      <c r="C26" s="87" t="s"/>
      <c r="D26" s="87" t="s"/>
      <c r="E26" s="87" t="s"/>
      <c r="F26" s="87">
        <f>=E26-D26</f>
        <v>0</v>
      </c>
      <c r="G26" s="87" t="s"/>
      <c r="H26" s="87" t="s"/>
      <c r="I26" s="87" t="s"/>
      <c r="J26" s="87">
        <f>=I26-H26</f>
        <v>0</v>
      </c>
      <c r="K26" s="87">
        <f>=C26*F26+G26*J26</f>
        <v>0</v>
      </c>
      <c r="L26" s="87">
        <f>=K26*B26</f>
        <v>0</v>
      </c>
      <c r="M26" s="88" t="s"/>
      <c r="N26" s="88" t="s"/>
      <c r="O26" s="88" t="s"/>
      <c r="P26" s="88" t="s"/>
      <c r="Q26" s="88" t="s"/>
      <c r="R26" s="88">
        <f>=Q26-P26</f>
        <v>0</v>
      </c>
      <c r="S26" s="88" t="s"/>
      <c r="T26" s="88" t="s"/>
      <c r="U26" s="88" t="s"/>
      <c r="V26" s="88">
        <f>=U26-T26</f>
        <v>0</v>
      </c>
      <c r="W26" s="88">
        <f>=O26*R26+S26*V26</f>
        <v>0</v>
      </c>
      <c r="X26" s="88">
        <f>=W26*N26</f>
        <v>0</v>
      </c>
    </row>
    <row r="27" spans="1:24">
      <c r="A27" s="87">
        <v>15</v>
      </c>
      <c r="B27" s="87" t="s"/>
      <c r="C27" s="87" t="s"/>
      <c r="D27" s="87" t="s"/>
      <c r="E27" s="87" t="s"/>
      <c r="F27" s="87">
        <f>=E27-D27</f>
        <v>0</v>
      </c>
      <c r="G27" s="87" t="s"/>
      <c r="H27" s="87" t="s"/>
      <c r="I27" s="87" t="s"/>
      <c r="J27" s="87">
        <f>=I27-H27</f>
        <v>0</v>
      </c>
      <c r="K27" s="87">
        <f>=C27*F27+G27*J27</f>
        <v>0</v>
      </c>
      <c r="L27" s="87">
        <f>=K27*B27</f>
        <v>0</v>
      </c>
      <c r="M27" s="88" t="s"/>
      <c r="N27" s="88" t="s"/>
      <c r="O27" s="88" t="s"/>
      <c r="P27" s="88" t="s"/>
      <c r="Q27" s="88" t="s"/>
      <c r="R27" s="88">
        <f>=Q27-P27</f>
        <v>0</v>
      </c>
      <c r="S27" s="88" t="s"/>
      <c r="T27" s="88" t="s"/>
      <c r="U27" s="88" t="s"/>
      <c r="V27" s="88">
        <f>=U27-T27</f>
        <v>0</v>
      </c>
      <c r="W27" s="88">
        <f>=O27*R27+S27*V27</f>
        <v>0</v>
      </c>
      <c r="X27" s="88">
        <f>=W27*N27</f>
        <v>0</v>
      </c>
    </row>
    <row r="28" spans="1:24">
      <c r="A28" s="87">
        <v>15</v>
      </c>
      <c r="B28" s="87" t="s"/>
      <c r="C28" s="87" t="s"/>
      <c r="D28" s="87" t="s"/>
      <c r="E28" s="87" t="s"/>
      <c r="F28" s="87">
        <f>=E28-D28</f>
        <v>0</v>
      </c>
      <c r="G28" s="87" t="s"/>
      <c r="H28" s="87" t="s"/>
      <c r="I28" s="87" t="s"/>
      <c r="J28" s="87">
        <f>=I28-H28</f>
        <v>0</v>
      </c>
      <c r="K28" s="87">
        <f>=C28*F28+G28*J28</f>
        <v>0</v>
      </c>
      <c r="L28" s="87">
        <f>=K28*B28</f>
        <v>0</v>
      </c>
      <c r="M28" s="88" t="s"/>
      <c r="N28" s="88" t="s"/>
      <c r="O28" s="88" t="s"/>
      <c r="P28" s="88" t="s"/>
      <c r="Q28" s="88" t="s"/>
      <c r="R28" s="88">
        <f>=Q28-P28</f>
        <v>0</v>
      </c>
      <c r="S28" s="88" t="s"/>
      <c r="T28" s="88" t="s"/>
      <c r="U28" s="88" t="s"/>
      <c r="V28" s="88">
        <f>=U28-T28</f>
        <v>0</v>
      </c>
      <c r="W28" s="88">
        <f>=O28*R28+S28*V28</f>
        <v>0</v>
      </c>
      <c r="X28" s="88">
        <f>=W28*N28</f>
        <v>0</v>
      </c>
    </row>
    <row r="29" spans="1:24">
      <c r="A29" s="87">
        <v>15</v>
      </c>
      <c r="B29" s="87" t="s"/>
      <c r="C29" s="87" t="s"/>
      <c r="D29" s="87" t="s"/>
      <c r="E29" s="87" t="s"/>
      <c r="F29" s="87">
        <f>=E29-D29</f>
        <v>0</v>
      </c>
      <c r="G29" s="87" t="s"/>
      <c r="H29" s="87" t="s"/>
      <c r="I29" s="87" t="s"/>
      <c r="J29" s="87">
        <f>=I29-H29</f>
        <v>0</v>
      </c>
      <c r="K29" s="87">
        <f>=C29*F29+G29*J29</f>
        <v>0</v>
      </c>
      <c r="L29" s="87">
        <f>=K29*B29</f>
        <v>0</v>
      </c>
      <c r="M29" s="88" t="s"/>
      <c r="N29" s="88" t="s"/>
      <c r="O29" s="88" t="s"/>
      <c r="P29" s="88" t="s"/>
      <c r="Q29" s="88" t="s"/>
      <c r="R29" s="88">
        <f>=Q29-P29</f>
        <v>0</v>
      </c>
      <c r="S29" s="88" t="s"/>
      <c r="T29" s="88" t="s"/>
      <c r="U29" s="88" t="s"/>
      <c r="V29" s="88">
        <f>=U29-T29</f>
        <v>0</v>
      </c>
      <c r="W29" s="88">
        <f>=O29*R29+S29*V29</f>
        <v>0</v>
      </c>
      <c r="X29" s="88">
        <f>=W29*N29</f>
        <v>0</v>
      </c>
    </row>
    <row r="30" spans="1:24">
      <c r="A30" s="87">
        <v>15</v>
      </c>
      <c r="B30" s="87" t="s"/>
      <c r="C30" s="87" t="s"/>
      <c r="D30" s="87" t="s"/>
      <c r="E30" s="87" t="s"/>
      <c r="F30" s="87">
        <f>=E30-D30</f>
        <v>0</v>
      </c>
      <c r="G30" s="87" t="s"/>
      <c r="H30" s="87" t="s"/>
      <c r="I30" s="87" t="s"/>
      <c r="J30" s="87">
        <f>=I30-H30</f>
        <v>0</v>
      </c>
      <c r="K30" s="87">
        <f>=C30*F30+G30*J30</f>
        <v>0</v>
      </c>
      <c r="L30" s="87">
        <f>=K30*B30</f>
        <v>0</v>
      </c>
      <c r="M30" s="88" t="s"/>
      <c r="N30" s="88" t="s"/>
      <c r="O30" s="88" t="s"/>
      <c r="P30" s="88" t="s"/>
      <c r="Q30" s="88" t="s"/>
      <c r="R30" s="88">
        <f>=Q30-P30</f>
        <v>0</v>
      </c>
      <c r="S30" s="88" t="s"/>
      <c r="T30" s="88" t="s"/>
      <c r="U30" s="88" t="s"/>
      <c r="V30" s="88">
        <f>=U30-T30</f>
        <v>0</v>
      </c>
      <c r="W30" s="88">
        <f>=O30*R30+S30*V30</f>
        <v>0</v>
      </c>
      <c r="X30" s="88">
        <f>=W30*N30</f>
        <v>0</v>
      </c>
    </row>
    <row r="31" spans="1:24">
      <c r="A31" s="87">
        <v>15</v>
      </c>
      <c r="B31" s="87" t="s"/>
      <c r="C31" s="87" t="s"/>
      <c r="D31" s="87" t="s"/>
      <c r="E31" s="87" t="s"/>
      <c r="F31" s="87">
        <f>=E31-D31</f>
        <v>0</v>
      </c>
      <c r="G31" s="87" t="s"/>
      <c r="H31" s="87" t="s"/>
      <c r="I31" s="87" t="s"/>
      <c r="J31" s="87">
        <f>=I31-H31</f>
        <v>0</v>
      </c>
      <c r="K31" s="87">
        <f>=C31*F31+G31*J31</f>
        <v>0</v>
      </c>
      <c r="L31" s="87">
        <f>=K31*B31</f>
        <v>0</v>
      </c>
      <c r="M31" s="88" t="s"/>
      <c r="N31" s="88" t="s"/>
      <c r="O31" s="88" t="s"/>
      <c r="P31" s="88" t="s"/>
      <c r="Q31" s="88" t="s"/>
      <c r="R31" s="88">
        <f>=Q31-P31</f>
        <v>0</v>
      </c>
      <c r="S31" s="88" t="s"/>
      <c r="T31" s="88" t="s"/>
      <c r="U31" s="88" t="s"/>
      <c r="V31" s="88">
        <f>=U31-T31</f>
        <v>0</v>
      </c>
      <c r="W31" s="88">
        <f>=O31*R31+S31*V31</f>
        <v>0</v>
      </c>
      <c r="X31" s="88">
        <f>=W31*N31</f>
        <v>0</v>
      </c>
    </row>
    <row r="32" spans="1:26" s="101" customFormat="1">
      <c r="A32" s="89" t="s"/>
      <c r="B32" s="89" t="s"/>
      <c r="C32" s="89" t="s"/>
      <c r="D32" s="89" t="s"/>
      <c r="E32" s="89" t="s"/>
      <c r="F32" s="89" t="s"/>
      <c r="G32" s="89" t="s"/>
      <c r="H32" s="89" t="s"/>
      <c r="I32" s="89" t="s"/>
      <c r="J32" s="89" t="s"/>
      <c r="K32" s="89" t="s"/>
      <c r="L32" s="89" t="s"/>
      <c r="M32" s="90" t="s"/>
      <c r="N32" s="90" t="s"/>
      <c r="O32" s="90" t="s"/>
      <c r="P32" s="90" t="s"/>
      <c r="Q32" s="90" t="s"/>
      <c r="R32" s="90" t="s"/>
      <c r="S32" s="90" t="s"/>
      <c r="T32" s="90" t="s"/>
      <c r="U32" s="90" t="s"/>
      <c r="V32" s="90" t="s"/>
      <c r="W32" s="90" t="s"/>
      <c r="X32" s="90" t="s"/>
      <c r="Y32" s="90" t="s"/>
      <c r="Z32" s="90" t="s"/>
    </row>
    <row r="33" spans="1:12">
      <c r="A33" s="81">
        <v>20</v>
      </c>
      <c r="B33" s="81" t="s"/>
      <c r="C33" s="81" t="s"/>
      <c r="D33" s="81" t="s"/>
      <c r="E33" s="81" t="s"/>
      <c r="F33" s="81">
        <f>=E33-D33</f>
        <v>0</v>
      </c>
      <c r="G33" s="81" t="s"/>
      <c r="H33" s="81" t="s"/>
      <c r="I33" s="81" t="s"/>
      <c r="J33" s="81">
        <f>=I33-H33</f>
        <v>0</v>
      </c>
      <c r="K33" s="81">
        <f>=C33*F33+G33*J33</f>
        <v>0</v>
      </c>
      <c r="L33" s="81">
        <f>=K33*B33</f>
        <v>0</v>
      </c>
    </row>
    <row r="34" spans="1:12">
      <c r="A34" s="81">
        <v>20</v>
      </c>
      <c r="B34" s="81" t="s"/>
      <c r="C34" s="81" t="s"/>
      <c r="D34" s="81" t="s"/>
      <c r="E34" s="81" t="s"/>
      <c r="F34" s="81">
        <f>=E34-D34</f>
        <v>0</v>
      </c>
      <c r="G34" s="81" t="s"/>
      <c r="H34" s="81" t="s"/>
      <c r="I34" s="81" t="s"/>
      <c r="J34" s="81">
        <f>=I34-H34</f>
        <v>0</v>
      </c>
      <c r="K34" s="81">
        <f>=C34*F34+G34*J34</f>
        <v>0</v>
      </c>
      <c r="L34" s="81">
        <f>=K34*B34</f>
        <v>0</v>
      </c>
    </row>
    <row r="35" spans="1:12">
      <c r="A35" s="81">
        <v>20</v>
      </c>
      <c r="B35" s="81" t="s"/>
      <c r="C35" s="81" t="s"/>
      <c r="D35" s="81" t="s"/>
      <c r="E35" s="81" t="s"/>
      <c r="F35" s="81">
        <f>=E35-D35</f>
        <v>0</v>
      </c>
      <c r="G35" s="81" t="s"/>
      <c r="H35" s="81" t="s"/>
      <c r="I35" s="81" t="s"/>
      <c r="J35" s="81">
        <f>=I35-H35</f>
        <v>0</v>
      </c>
      <c r="K35" s="81">
        <f>=C35*F35+G35*J35</f>
        <v>0</v>
      </c>
      <c r="L35" s="81">
        <f>=K35*B35</f>
        <v>0</v>
      </c>
    </row>
    <row r="36" spans="1:12">
      <c r="A36" s="81">
        <v>20</v>
      </c>
      <c r="B36" s="81" t="s"/>
      <c r="C36" s="81" t="s"/>
      <c r="D36" s="81" t="s"/>
      <c r="E36" s="81" t="s"/>
      <c r="F36" s="81">
        <f>=E36-D36</f>
        <v>0</v>
      </c>
      <c r="G36" s="81" t="s"/>
      <c r="H36" s="81" t="s"/>
      <c r="I36" s="81" t="s"/>
      <c r="J36" s="81">
        <f>=I36-H36</f>
        <v>0</v>
      </c>
      <c r="K36" s="81">
        <f>=C36*F36+G36*J36</f>
        <v>0</v>
      </c>
      <c r="L36" s="81">
        <f>=K36*B36</f>
        <v>0</v>
      </c>
    </row>
    <row r="37" spans="1:12">
      <c r="A37" s="81">
        <v>20</v>
      </c>
      <c r="B37" s="81" t="s"/>
      <c r="C37" s="81" t="s"/>
      <c r="D37" s="81" t="s"/>
      <c r="E37" s="81" t="s"/>
      <c r="F37" s="81">
        <f>=E37-D37</f>
        <v>0</v>
      </c>
      <c r="G37" s="81" t="s"/>
      <c r="H37" s="81" t="s"/>
      <c r="I37" s="81" t="s"/>
      <c r="J37" s="81">
        <f>=I37-H37</f>
        <v>0</v>
      </c>
      <c r="K37" s="81">
        <f>=C37*F37+G37*J37</f>
        <v>0</v>
      </c>
      <c r="L37" s="81">
        <f>=K37*B37</f>
        <v>0</v>
      </c>
    </row>
    <row r="38" spans="1:12">
      <c r="A38" s="81">
        <v>20</v>
      </c>
      <c r="B38" s="81" t="s"/>
      <c r="C38" s="81" t="s"/>
      <c r="D38" s="81" t="s"/>
      <c r="E38" s="81" t="s"/>
      <c r="F38" s="81">
        <f>=E38-D38</f>
        <v>0</v>
      </c>
      <c r="G38" s="81" t="s"/>
      <c r="H38" s="81" t="s"/>
      <c r="I38" s="81" t="s"/>
      <c r="J38" s="81">
        <f>=I38-H38</f>
        <v>0</v>
      </c>
      <c r="K38" s="81">
        <f>=C38*F38+G38*J38</f>
        <v>0</v>
      </c>
      <c r="L38" s="81">
        <f>=K38*B38</f>
        <v>0</v>
      </c>
    </row>
    <row r="39" spans="1:12">
      <c r="A39" s="81">
        <v>20</v>
      </c>
      <c r="B39" s="81" t="s"/>
      <c r="C39" s="81" t="s"/>
      <c r="D39" s="81" t="s"/>
      <c r="E39" s="81" t="s"/>
      <c r="F39" s="81">
        <f>=E39-D39</f>
        <v>0</v>
      </c>
      <c r="G39" s="81" t="s"/>
      <c r="H39" s="81" t="s"/>
      <c r="I39" s="81" t="s"/>
      <c r="J39" s="81">
        <f>=I39-H39</f>
        <v>0</v>
      </c>
      <c r="K39" s="81">
        <f>=C39*F39+G39*J39</f>
        <v>0</v>
      </c>
      <c r="L39" s="81">
        <f>=K39*B39</f>
        <v>0</v>
      </c>
    </row>
    <row r="40" spans="1:12">
      <c r="A40" s="81">
        <v>20</v>
      </c>
      <c r="B40" s="81" t="s"/>
      <c r="C40" s="81" t="s"/>
      <c r="D40" s="81" t="s"/>
      <c r="E40" s="81" t="s"/>
      <c r="F40" s="81">
        <f>=E40-D40</f>
        <v>0</v>
      </c>
      <c r="G40" s="81" t="s"/>
      <c r="H40" s="81" t="s"/>
      <c r="I40" s="81" t="s"/>
      <c r="J40" s="81">
        <f>=I40-H40</f>
        <v>0</v>
      </c>
      <c r="K40" s="81">
        <f>=C40*F40+G40*J40</f>
        <v>0</v>
      </c>
      <c r="L40" s="81">
        <f>=K40*B40</f>
        <v>0</v>
      </c>
    </row>
    <row r="41" spans="1:12">
      <c r="A41" s="81">
        <v>20</v>
      </c>
      <c r="B41" s="81" t="s"/>
      <c r="C41" s="81" t="s"/>
      <c r="D41" s="81" t="s"/>
      <c r="E41" s="81" t="s"/>
      <c r="F41" s="81">
        <f>=E41-D41</f>
        <v>0</v>
      </c>
      <c r="G41" s="81" t="s"/>
      <c r="H41" s="81" t="s"/>
      <c r="I41" s="81" t="s"/>
      <c r="J41" s="81">
        <f>=I41-H41</f>
        <v>0</v>
      </c>
      <c r="K41" s="81">
        <f>=C41*F41+G41*J41</f>
        <v>0</v>
      </c>
      <c r="L41" s="81">
        <f>=K41*B41</f>
        <v>0</v>
      </c>
    </row>
    <row r="42" spans="1:12">
      <c r="A42" s="81">
        <v>20</v>
      </c>
      <c r="B42" s="81" t="s"/>
      <c r="C42" s="81" t="s"/>
      <c r="D42" s="81" t="s"/>
      <c r="E42" s="81" t="s"/>
      <c r="F42" s="81">
        <f>=E42-D42</f>
        <v>0</v>
      </c>
      <c r="G42" s="81" t="s"/>
      <c r="H42" s="81" t="s"/>
      <c r="I42" s="81" t="s"/>
      <c r="J42" s="81">
        <f>=I42-H42</f>
        <v>0</v>
      </c>
      <c r="K42" s="81">
        <f>=C42*F42+G42*J42</f>
        <v>0</v>
      </c>
      <c r="L42" s="81">
        <f>=K42*B42</f>
        <v>0</v>
      </c>
    </row>
    <row r="43" spans="1:12">
      <c r="A43" s="81">
        <v>20</v>
      </c>
      <c r="B43" s="81" t="s"/>
      <c r="C43" s="81" t="s"/>
      <c r="D43" s="81" t="s"/>
      <c r="E43" s="81" t="s"/>
      <c r="F43" s="81">
        <f>=E43-D43</f>
        <v>0</v>
      </c>
      <c r="G43" s="81" t="s"/>
      <c r="H43" s="81" t="s"/>
      <c r="I43" s="81" t="s"/>
      <c r="J43" s="81">
        <f>=I43-H43</f>
        <v>0</v>
      </c>
      <c r="K43" s="81">
        <f>=C43*F43+G43*J43</f>
        <v>0</v>
      </c>
      <c r="L43" s="81">
        <f>=K43*B43</f>
        <v>0</v>
      </c>
    </row>
    <row r="44" spans="1:12">
      <c r="A44" s="81">
        <v>20</v>
      </c>
      <c r="B44" s="81" t="s"/>
      <c r="C44" s="81" t="s"/>
      <c r="D44" s="81" t="s"/>
      <c r="E44" s="81" t="s"/>
      <c r="F44" s="81">
        <f>=E44-D44</f>
        <v>0</v>
      </c>
      <c r="G44" s="81" t="s"/>
      <c r="H44" s="81" t="s"/>
      <c r="I44" s="81" t="s"/>
      <c r="J44" s="81">
        <f>=I44-H44</f>
        <v>0</v>
      </c>
      <c r="K44" s="81">
        <f>=C44*F44+G44*J44</f>
        <v>0</v>
      </c>
      <c r="L44" s="81">
        <f>=K44*B44</f>
        <v>0</v>
      </c>
    </row>
    <row r="45" spans="1:12">
      <c r="A45" s="81">
        <v>20</v>
      </c>
      <c r="B45" s="81" t="s"/>
      <c r="C45" s="81" t="s"/>
      <c r="D45" s="81" t="s"/>
      <c r="E45" s="81" t="s"/>
      <c r="F45" s="81">
        <f>=E45-D45</f>
        <v>0</v>
      </c>
      <c r="G45" s="81" t="s"/>
      <c r="H45" s="81" t="s"/>
      <c r="I45" s="81" t="s"/>
      <c r="J45" s="81">
        <f>=I45-H45</f>
        <v>0</v>
      </c>
      <c r="K45" s="81">
        <f>=C45*F45+G45*J45</f>
        <v>0</v>
      </c>
      <c r="L45" s="81">
        <f>=K45*B45</f>
        <v>0</v>
      </c>
    </row>
    <row r="46" spans="1:12">
      <c r="A46" s="81">
        <v>20</v>
      </c>
      <c r="B46" s="81" t="s"/>
      <c r="C46" s="81" t="s"/>
      <c r="D46" s="81" t="s"/>
      <c r="E46" s="81" t="s"/>
      <c r="F46" s="81">
        <f>=E46-D46</f>
        <v>0</v>
      </c>
      <c r="G46" s="81" t="s"/>
      <c r="H46" s="81" t="s"/>
      <c r="I46" s="81" t="s"/>
      <c r="J46" s="81">
        <f>=I46-H46</f>
        <v>0</v>
      </c>
      <c r="K46" s="81">
        <f>=C46*F46+G46*J46</f>
        <v>0</v>
      </c>
      <c r="L46" s="81">
        <f>=K46*B46</f>
        <v>0</v>
      </c>
    </row>
    <row r="47" spans="1:12">
      <c r="A47" s="81">
        <v>20</v>
      </c>
      <c r="B47" s="81" t="s"/>
      <c r="C47" s="81" t="s"/>
      <c r="D47" s="81" t="s"/>
      <c r="E47" s="81" t="s"/>
      <c r="F47" s="81">
        <f>=E47-D47</f>
        <v>0</v>
      </c>
      <c r="G47" s="81" t="s"/>
      <c r="H47" s="81" t="s"/>
      <c r="I47" s="81" t="s"/>
      <c r="J47" s="81">
        <f>=I47-H47</f>
        <v>0</v>
      </c>
      <c r="K47" s="81">
        <f>=C47*F47+G47*J47</f>
        <v>0</v>
      </c>
      <c r="L47" s="81">
        <f>=K47*B47</f>
        <v>0</v>
      </c>
    </row>
    <row r="48" spans="1:12">
      <c r="A48" s="81">
        <v>20</v>
      </c>
      <c r="B48" s="81" t="s"/>
      <c r="C48" s="81" t="s"/>
      <c r="D48" s="81" t="s"/>
      <c r="E48" s="81" t="s"/>
      <c r="F48" s="81">
        <f>=E48-D48</f>
        <v>0</v>
      </c>
      <c r="G48" s="81" t="s"/>
      <c r="H48" s="81" t="s"/>
      <c r="I48" s="81" t="s"/>
      <c r="J48" s="81">
        <f>=I48-H48</f>
        <v>0</v>
      </c>
      <c r="K48" s="81">
        <f>=C48*F48+G48*J48</f>
        <v>0</v>
      </c>
      <c r="L48" s="81">
        <f>=K48*B48</f>
        <v>0</v>
      </c>
    </row>
    <row r="49" spans="1:12">
      <c r="A49" s="81">
        <v>20</v>
      </c>
      <c r="B49" s="81" t="s"/>
      <c r="C49" s="81" t="s"/>
      <c r="D49" s="81" t="s"/>
      <c r="E49" s="81" t="s"/>
      <c r="F49" s="81">
        <f>=E49-D49</f>
        <v>0</v>
      </c>
      <c r="G49" s="81" t="s"/>
      <c r="H49" s="81" t="s"/>
      <c r="I49" s="81" t="s"/>
      <c r="J49" s="81">
        <f>=I49-H49</f>
        <v>0</v>
      </c>
      <c r="K49" s="81">
        <f>=C49*F49+G49*J49</f>
        <v>0</v>
      </c>
      <c r="L49" s="81">
        <f>=K49*B49</f>
        <v>0</v>
      </c>
    </row>
    <row r="50" spans="1:12">
      <c r="A50" s="81">
        <v>20</v>
      </c>
      <c r="B50" s="81" t="s"/>
      <c r="C50" s="81" t="s"/>
      <c r="D50" s="81" t="s"/>
      <c r="E50" s="81" t="s"/>
      <c r="F50" s="81">
        <f>=E50-D50</f>
        <v>0</v>
      </c>
      <c r="G50" s="81" t="s"/>
      <c r="H50" s="81" t="s"/>
      <c r="I50" s="81" t="s"/>
      <c r="J50" s="81">
        <f>=I50-H50</f>
        <v>0</v>
      </c>
      <c r="K50" s="81">
        <f>=C50*F50+G50*J50</f>
        <v>0</v>
      </c>
      <c r="L50" s="81">
        <f>=K50*B50</f>
        <v>0</v>
      </c>
    </row>
    <row r="51" spans="1:12">
      <c r="A51" s="81">
        <v>20</v>
      </c>
      <c r="B51" s="81" t="s"/>
      <c r="C51" s="81" t="s"/>
      <c r="D51" s="81" t="s"/>
      <c r="E51" s="81" t="s"/>
      <c r="F51" s="81">
        <f>=E51-D51</f>
        <v>0</v>
      </c>
      <c r="G51" s="81" t="s"/>
      <c r="H51" s="81" t="s"/>
      <c r="I51" s="81" t="s"/>
      <c r="J51" s="81">
        <f>=I51-H51</f>
        <v>0</v>
      </c>
      <c r="K51" s="81">
        <f>=C51*F51+G51*J51</f>
        <v>0</v>
      </c>
      <c r="L51" s="81">
        <f>=K51*B51</f>
        <v>0</v>
      </c>
    </row>
    <row r="52" spans="1:12">
      <c r="A52" s="81">
        <v>20</v>
      </c>
      <c r="B52" s="81" t="s"/>
      <c r="C52" s="81" t="s"/>
      <c r="D52" s="81" t="s"/>
      <c r="E52" s="81" t="s"/>
      <c r="F52" s="81">
        <f>=E52-D52</f>
        <v>0</v>
      </c>
      <c r="G52" s="81" t="s"/>
      <c r="H52" s="81" t="s"/>
      <c r="I52" s="81" t="s"/>
      <c r="J52" s="81">
        <f>=I52-H52</f>
        <v>0</v>
      </c>
      <c r="K52" s="81">
        <f>=C52*F52+G52*J52</f>
        <v>0</v>
      </c>
      <c r="L52" s="81">
        <f>=K52*B52</f>
        <v>0</v>
      </c>
    </row>
    <row r="53" spans="1:12">
      <c r="A53" s="81">
        <v>20</v>
      </c>
      <c r="B53" s="81" t="s"/>
      <c r="C53" s="81" t="s"/>
      <c r="D53" s="81" t="s"/>
      <c r="E53" s="81" t="s"/>
      <c r="F53" s="81">
        <f>=E53-D53</f>
        <v>0</v>
      </c>
      <c r="G53" s="81" t="s"/>
      <c r="H53" s="81" t="s"/>
      <c r="I53" s="81" t="s"/>
      <c r="J53" s="81">
        <f>=I53-H53</f>
        <v>0</v>
      </c>
      <c r="K53" s="81">
        <f>=C53*F53+G53*J53</f>
        <v>0</v>
      </c>
      <c r="L53" s="81">
        <f>=K53*B53</f>
        <v>0</v>
      </c>
    </row>
    <row r="54" spans="1:12">
      <c r="A54" s="81">
        <v>20</v>
      </c>
      <c r="B54" s="81" t="s"/>
      <c r="C54" s="81" t="s"/>
      <c r="D54" s="81" t="s"/>
      <c r="E54" s="81" t="s"/>
      <c r="F54" s="81">
        <f>=E54-D54</f>
        <v>0</v>
      </c>
      <c r="G54" s="81" t="s"/>
      <c r="H54" s="81" t="s"/>
      <c r="I54" s="81" t="s"/>
      <c r="J54" s="81">
        <f>=I54-H54</f>
        <v>0</v>
      </c>
      <c r="K54" s="81">
        <f>=C54*F54+G54*J54</f>
        <v>0</v>
      </c>
      <c r="L54" s="81">
        <f>=K54*B54</f>
        <v>0</v>
      </c>
    </row>
    <row r="55" spans="1:12">
      <c r="A55" s="81">
        <v>20</v>
      </c>
      <c r="B55" s="81" t="s"/>
      <c r="C55" s="81" t="s"/>
      <c r="D55" s="81" t="s"/>
      <c r="E55" s="81" t="s"/>
      <c r="F55" s="81">
        <f>=E55-D55</f>
        <v>0</v>
      </c>
      <c r="G55" s="81" t="s"/>
      <c r="H55" s="81" t="s"/>
      <c r="I55" s="81" t="s"/>
      <c r="J55" s="81">
        <f>=I55-H55</f>
        <v>0</v>
      </c>
      <c r="K55" s="81">
        <f>=C55*F55+G55*J55</f>
        <v>0</v>
      </c>
      <c r="L55" s="81">
        <f>=K55*B55</f>
        <v>0</v>
      </c>
    </row>
    <row r="56" spans="1:12">
      <c r="A56" s="81">
        <v>20</v>
      </c>
      <c r="B56" s="81" t="s"/>
      <c r="C56" s="81" t="s"/>
      <c r="D56" s="81" t="s"/>
      <c r="E56" s="81" t="s"/>
      <c r="F56" s="81">
        <f>=E56-D56</f>
        <v>0</v>
      </c>
      <c r="G56" s="81" t="s"/>
      <c r="H56" s="81" t="s"/>
      <c r="I56" s="81" t="s"/>
      <c r="J56" s="81">
        <f>=I56-H56</f>
        <v>0</v>
      </c>
      <c r="K56" s="81">
        <f>=C56*F56+G56*J56</f>
        <v>0</v>
      </c>
      <c r="L56" s="81">
        <f>=K56*B56</f>
        <v>0</v>
      </c>
    </row>
    <row r="57" spans="1:12">
      <c r="A57" s="81">
        <v>20</v>
      </c>
      <c r="B57" s="81" t="s"/>
      <c r="C57" s="81" t="s"/>
      <c r="D57" s="81" t="s"/>
      <c r="E57" s="81" t="s"/>
      <c r="F57" s="81">
        <f>=E57-D57</f>
        <v>0</v>
      </c>
      <c r="G57" s="81" t="s"/>
      <c r="H57" s="81" t="s"/>
      <c r="I57" s="81" t="s"/>
      <c r="J57" s="81">
        <f>=I57-H57</f>
        <v>0</v>
      </c>
      <c r="K57" s="81">
        <f>=C57*F57+G57*J57</f>
        <v>0</v>
      </c>
      <c r="L57" s="81">
        <f>=K57*B57</f>
        <v>0</v>
      </c>
    </row>
    <row r="58" spans="1:12">
      <c r="A58" s="81">
        <v>20</v>
      </c>
      <c r="B58" s="81" t="s"/>
      <c r="C58" s="81" t="s"/>
      <c r="D58" s="81" t="s"/>
      <c r="E58" s="81" t="s"/>
      <c r="F58" s="81">
        <f>=E58-D58</f>
        <v>0</v>
      </c>
      <c r="G58" s="81" t="s"/>
      <c r="H58" s="81" t="s"/>
      <c r="I58" s="81" t="s"/>
      <c r="J58" s="81">
        <f>=I58-H58</f>
        <v>0</v>
      </c>
      <c r="K58" s="81">
        <f>=C58*F58+G58*J58</f>
        <v>0</v>
      </c>
      <c r="L58" s="81">
        <f>=K58*B58</f>
        <v>0</v>
      </c>
    </row>
    <row r="59" spans="1:12">
      <c r="A59" s="81">
        <v>20</v>
      </c>
      <c r="B59" s="81" t="s"/>
      <c r="C59" s="81" t="s"/>
      <c r="D59" s="81" t="s"/>
      <c r="E59" s="81" t="s"/>
      <c r="F59" s="81">
        <f>=E59-D59</f>
        <v>0</v>
      </c>
      <c r="G59" s="81" t="s"/>
      <c r="H59" s="81" t="s"/>
      <c r="I59" s="81" t="s"/>
      <c r="J59" s="81">
        <f>=I59-H59</f>
        <v>0</v>
      </c>
      <c r="K59" s="81">
        <f>=C59*F59+G59*J59</f>
        <v>0</v>
      </c>
      <c r="L59" s="81">
        <f>=K59*B59</f>
        <v>0</v>
      </c>
    </row>
    <row r="60" spans="1:12">
      <c r="A60" s="81">
        <v>20</v>
      </c>
      <c r="B60" s="81" t="s"/>
      <c r="C60" s="81" t="s"/>
      <c r="D60" s="81" t="s"/>
      <c r="E60" s="81" t="s"/>
      <c r="F60" s="81">
        <f>=E60-D60</f>
        <v>0</v>
      </c>
      <c r="G60" s="81" t="s"/>
      <c r="H60" s="81" t="s"/>
      <c r="I60" s="81" t="s"/>
      <c r="J60" s="81">
        <f>=I60-H60</f>
        <v>0</v>
      </c>
      <c r="K60" s="81">
        <f>=C60*F60+G60*J60</f>
        <v>0</v>
      </c>
      <c r="L60" s="81">
        <f>=K60*B60</f>
        <v>0</v>
      </c>
    </row>
    <row r="61" spans="1:12">
      <c r="A61" s="81">
        <v>20</v>
      </c>
      <c r="B61" s="81" t="s"/>
      <c r="C61" s="81" t="s"/>
      <c r="D61" s="81" t="s"/>
      <c r="E61" s="81" t="s"/>
      <c r="F61" s="81">
        <f>=E61-D61</f>
        <v>0</v>
      </c>
      <c r="G61" s="81" t="s"/>
      <c r="H61" s="81" t="s"/>
      <c r="I61" s="81" t="s"/>
      <c r="J61" s="81">
        <f>=I61-H61</f>
        <v>0</v>
      </c>
      <c r="K61" s="81">
        <f>=C61*F61+G61*J61</f>
        <v>0</v>
      </c>
      <c r="L61" s="81">
        <f>=K61*B61</f>
        <v>0</v>
      </c>
    </row>
    <row r="62" spans="1:12">
      <c r="A62" s="81">
        <v>20</v>
      </c>
      <c r="B62" s="81" t="s"/>
      <c r="C62" s="81" t="s"/>
      <c r="D62" s="81" t="s"/>
      <c r="E62" s="81" t="s"/>
      <c r="F62" s="81">
        <f>=E62-D62</f>
        <v>0</v>
      </c>
      <c r="G62" s="81" t="s"/>
      <c r="H62" s="81" t="s"/>
      <c r="I62" s="81" t="s"/>
      <c r="J62" s="81">
        <f>=I62-H62</f>
        <v>0</v>
      </c>
      <c r="K62" s="81">
        <f>=C62*F62+G62*J62</f>
        <v>0</v>
      </c>
      <c r="L62" s="81">
        <f>=K62*B62</f>
        <v>0</v>
      </c>
    </row>
    <row r="63" spans="1:26" s="101" customFormat="1">
      <c r="A63" s="89" t="s"/>
      <c r="B63" s="89" t="s"/>
      <c r="C63" s="89" t="s"/>
      <c r="D63" s="89" t="s"/>
      <c r="E63" s="89" t="s"/>
      <c r="F63" s="89" t="s"/>
      <c r="G63" s="89" t="s"/>
      <c r="H63" s="89" t="s"/>
      <c r="I63" s="89" t="s"/>
      <c r="J63" s="89" t="s"/>
      <c r="K63" s="89" t="s"/>
      <c r="L63" s="89" t="s"/>
      <c r="M63" s="90" t="s"/>
      <c r="N63" s="90" t="s"/>
      <c r="O63" s="90" t="s"/>
      <c r="P63" s="90" t="s"/>
      <c r="Q63" s="90" t="s"/>
      <c r="R63" s="90" t="s"/>
      <c r="S63" s="90" t="s"/>
      <c r="T63" s="90" t="s"/>
      <c r="U63" s="90" t="s"/>
      <c r="V63" s="90" t="s"/>
      <c r="W63" s="90" t="s"/>
      <c r="X63" s="90" t="s"/>
      <c r="Y63" s="90" t="s"/>
      <c r="Z63" s="90" t="s"/>
    </row>
    <row r="64" spans="1:12">
      <c r="A64" s="81">
        <v>25</v>
      </c>
      <c r="B64" s="81" t="s"/>
      <c r="C64" s="81" t="s"/>
      <c r="D64" s="81" t="s"/>
      <c r="E64" s="81" t="s"/>
      <c r="F64" s="81">
        <f>=E64-D64</f>
        <v>0</v>
      </c>
      <c r="G64" s="81" t="s"/>
      <c r="H64" s="81" t="s"/>
      <c r="I64" s="81" t="s"/>
      <c r="J64" s="81">
        <f>=I64-H64</f>
        <v>0</v>
      </c>
      <c r="K64" s="81">
        <f>=C64*F64+G64*J64</f>
        <v>0</v>
      </c>
      <c r="L64" s="81">
        <f>=K64*B64</f>
        <v>0</v>
      </c>
    </row>
    <row r="65" spans="1:12">
      <c r="A65" s="81">
        <v>25</v>
      </c>
      <c r="B65" s="81" t="s"/>
      <c r="C65" s="81" t="s"/>
      <c r="D65" s="81" t="s"/>
      <c r="E65" s="81" t="s"/>
      <c r="F65" s="81">
        <f>=E65-D65</f>
        <v>0</v>
      </c>
      <c r="G65" s="81" t="s"/>
      <c r="H65" s="81" t="s"/>
      <c r="I65" s="81" t="s"/>
      <c r="J65" s="81">
        <f>=I65-H65</f>
        <v>0</v>
      </c>
      <c r="K65" s="81">
        <f>=C65*F65+G65*J65</f>
        <v>0</v>
      </c>
      <c r="L65" s="81">
        <f>=K65*B65</f>
        <v>0</v>
      </c>
    </row>
    <row r="66" spans="1:12">
      <c r="A66" s="81">
        <v>25</v>
      </c>
      <c r="B66" s="81" t="s"/>
      <c r="C66" s="81" t="s"/>
      <c r="D66" s="81" t="s"/>
      <c r="E66" s="81" t="s"/>
      <c r="F66" s="81">
        <f>=E66-D66</f>
        <v>0</v>
      </c>
      <c r="G66" s="81" t="s"/>
      <c r="H66" s="81" t="s"/>
      <c r="I66" s="81" t="s"/>
      <c r="J66" s="81">
        <f>=I66-H66</f>
        <v>0</v>
      </c>
      <c r="K66" s="81">
        <f>=C66*F66+G66*J66</f>
        <v>0</v>
      </c>
      <c r="L66" s="81">
        <f>=K66*B66</f>
        <v>0</v>
      </c>
    </row>
    <row r="67" spans="1:12">
      <c r="A67" s="81">
        <v>25</v>
      </c>
      <c r="B67" s="81" t="s"/>
      <c r="C67" s="81" t="s"/>
      <c r="D67" s="81" t="s"/>
      <c r="E67" s="81" t="s"/>
      <c r="F67" s="81">
        <f>=E67-D67</f>
        <v>0</v>
      </c>
      <c r="G67" s="81" t="s"/>
      <c r="H67" s="81" t="s"/>
      <c r="I67" s="81" t="s"/>
      <c r="J67" s="81">
        <f>=I67-H67</f>
        <v>0</v>
      </c>
      <c r="K67" s="81">
        <f>=C67*F67+G67*J67</f>
        <v>0</v>
      </c>
      <c r="L67" s="81">
        <f>=K67*B67</f>
        <v>0</v>
      </c>
    </row>
    <row r="68" spans="1:12">
      <c r="A68" s="81">
        <v>25</v>
      </c>
      <c r="B68" s="81" t="s"/>
      <c r="C68" s="81" t="s"/>
      <c r="D68" s="81" t="s"/>
      <c r="E68" s="81" t="s"/>
      <c r="F68" s="81">
        <f>=E68-D68</f>
        <v>0</v>
      </c>
      <c r="G68" s="81" t="s"/>
      <c r="H68" s="81" t="s"/>
      <c r="I68" s="81" t="s"/>
      <c r="J68" s="81">
        <f>=I68-H68</f>
        <v>0</v>
      </c>
      <c r="K68" s="81">
        <f>=C68*F68+G68*J68</f>
        <v>0</v>
      </c>
      <c r="L68" s="81">
        <f>=K68*B68</f>
        <v>0</v>
      </c>
    </row>
    <row r="69" spans="1:12">
      <c r="A69" s="81">
        <v>25</v>
      </c>
      <c r="B69" s="81" t="s"/>
      <c r="C69" s="81" t="s"/>
      <c r="D69" s="81" t="s"/>
      <c r="E69" s="81" t="s"/>
      <c r="F69" s="81">
        <f>=E69-D69</f>
        <v>0</v>
      </c>
      <c r="G69" s="81" t="s"/>
      <c r="H69" s="81" t="s"/>
      <c r="I69" s="81" t="s"/>
      <c r="J69" s="81">
        <f>=I69-H69</f>
        <v>0</v>
      </c>
      <c r="K69" s="81">
        <f>=C69*F69+G69*J69</f>
        <v>0</v>
      </c>
      <c r="L69" s="81">
        <f>=K69*B69</f>
        <v>0</v>
      </c>
    </row>
    <row r="70" spans="1:12">
      <c r="A70" s="81">
        <v>25</v>
      </c>
      <c r="B70" s="81" t="s"/>
      <c r="C70" s="81" t="s"/>
      <c r="D70" s="81" t="s"/>
      <c r="E70" s="81" t="s"/>
      <c r="F70" s="81">
        <f>=E70-D70</f>
        <v>0</v>
      </c>
      <c r="G70" s="81" t="s"/>
      <c r="H70" s="81" t="s"/>
      <c r="I70" s="81" t="s"/>
      <c r="J70" s="81">
        <f>=I70-H70</f>
        <v>0</v>
      </c>
      <c r="K70" s="81">
        <f>=C70*F70+G70*J70</f>
        <v>0</v>
      </c>
      <c r="L70" s="81">
        <f>=K70*B70</f>
        <v>0</v>
      </c>
    </row>
    <row r="71" spans="1:12">
      <c r="A71" s="81">
        <v>25</v>
      </c>
      <c r="B71" s="81" t="s"/>
      <c r="C71" s="81" t="s"/>
      <c r="D71" s="81" t="s"/>
      <c r="E71" s="81" t="s"/>
      <c r="F71" s="81">
        <f>=E71-D71</f>
        <v>0</v>
      </c>
      <c r="G71" s="81" t="s"/>
      <c r="H71" s="81" t="s"/>
      <c r="I71" s="81" t="s"/>
      <c r="J71" s="81">
        <f>=I71-H71</f>
        <v>0</v>
      </c>
      <c r="K71" s="81">
        <f>=C71*F71+G71*J71</f>
        <v>0</v>
      </c>
      <c r="L71" s="81">
        <f>=K71*B71</f>
        <v>0</v>
      </c>
    </row>
    <row r="72" spans="1:12">
      <c r="A72" s="81">
        <v>25</v>
      </c>
      <c r="B72" s="81" t="s"/>
      <c r="C72" s="81" t="s"/>
      <c r="D72" s="81" t="s"/>
      <c r="E72" s="81" t="s"/>
      <c r="F72" s="81">
        <f>=E72-D72</f>
        <v>0</v>
      </c>
      <c r="G72" s="81" t="s"/>
      <c r="H72" s="81" t="s"/>
      <c r="I72" s="81" t="s"/>
      <c r="J72" s="81">
        <f>=I72-H72</f>
        <v>0</v>
      </c>
      <c r="K72" s="81">
        <f>=C72*F72+G72*J72</f>
        <v>0</v>
      </c>
      <c r="L72" s="81">
        <f>=K72*B72</f>
        <v>0</v>
      </c>
    </row>
    <row r="73" spans="1:12">
      <c r="A73" s="81">
        <v>25</v>
      </c>
      <c r="B73" s="81" t="s"/>
      <c r="C73" s="81" t="s"/>
      <c r="D73" s="81" t="s"/>
      <c r="E73" s="81" t="s"/>
      <c r="F73" s="81">
        <f>=E73-D73</f>
        <v>0</v>
      </c>
      <c r="G73" s="81" t="s"/>
      <c r="H73" s="81" t="s"/>
      <c r="I73" s="81" t="s"/>
      <c r="J73" s="81">
        <f>=I73-H73</f>
        <v>0</v>
      </c>
      <c r="K73" s="81">
        <f>=C73*F73+G73*J73</f>
        <v>0</v>
      </c>
      <c r="L73" s="81">
        <f>=K73*B73</f>
        <v>0</v>
      </c>
    </row>
    <row r="74" spans="1:12">
      <c r="A74" s="81">
        <v>25</v>
      </c>
      <c r="B74" s="81" t="s"/>
      <c r="C74" s="81" t="s"/>
      <c r="D74" s="81" t="s"/>
      <c r="E74" s="81" t="s"/>
      <c r="F74" s="81">
        <f>=E74-D74</f>
        <v>0</v>
      </c>
      <c r="G74" s="81" t="s"/>
      <c r="H74" s="81" t="s"/>
      <c r="I74" s="81" t="s"/>
      <c r="J74" s="81">
        <f>=I74-H74</f>
        <v>0</v>
      </c>
      <c r="K74" s="81">
        <f>=C74*F74+G74*J74</f>
        <v>0</v>
      </c>
      <c r="L74" s="81">
        <f>=K74*B74</f>
        <v>0</v>
      </c>
    </row>
    <row r="75" spans="1:12">
      <c r="A75" s="81">
        <v>25</v>
      </c>
      <c r="B75" s="81" t="s"/>
      <c r="C75" s="81" t="s"/>
      <c r="D75" s="81" t="s"/>
      <c r="E75" s="81" t="s"/>
      <c r="F75" s="81">
        <f>=E75-D75</f>
        <v>0</v>
      </c>
      <c r="G75" s="81" t="s"/>
      <c r="H75" s="81" t="s"/>
      <c r="I75" s="81" t="s"/>
      <c r="J75" s="81">
        <f>=I75-H75</f>
        <v>0</v>
      </c>
      <c r="K75" s="81">
        <f>=C75*F75+G75*J75</f>
        <v>0</v>
      </c>
      <c r="L75" s="81">
        <f>=K75*B75</f>
        <v>0</v>
      </c>
    </row>
    <row r="76" spans="1:12">
      <c r="A76" s="81">
        <v>25</v>
      </c>
      <c r="B76" s="81" t="s"/>
      <c r="C76" s="81" t="s"/>
      <c r="D76" s="81" t="s"/>
      <c r="E76" s="81" t="s"/>
      <c r="F76" s="81">
        <f>=E76-D76</f>
        <v>0</v>
      </c>
      <c r="G76" s="81" t="s"/>
      <c r="H76" s="81" t="s"/>
      <c r="I76" s="81" t="s"/>
      <c r="J76" s="81">
        <f>=I76-H76</f>
        <v>0</v>
      </c>
      <c r="K76" s="81">
        <f>=C76*F76+G76*J76</f>
        <v>0</v>
      </c>
      <c r="L76" s="81">
        <f>=K76*B76</f>
        <v>0</v>
      </c>
    </row>
    <row r="77" spans="1:12">
      <c r="A77" s="81">
        <v>25</v>
      </c>
      <c r="B77" s="81" t="s"/>
      <c r="C77" s="81" t="s"/>
      <c r="D77" s="81" t="s"/>
      <c r="E77" s="81" t="s"/>
      <c r="F77" s="81">
        <f>=E77-D77</f>
        <v>0</v>
      </c>
      <c r="G77" s="81" t="s"/>
      <c r="H77" s="81" t="s"/>
      <c r="I77" s="81" t="s"/>
      <c r="J77" s="81">
        <f>=I77-H77</f>
        <v>0</v>
      </c>
      <c r="K77" s="81">
        <f>=C77*F77+G77*J77</f>
        <v>0</v>
      </c>
      <c r="L77" s="81">
        <f>=K77*B77</f>
        <v>0</v>
      </c>
    </row>
    <row r="78" spans="1:12">
      <c r="A78" s="81">
        <v>25</v>
      </c>
      <c r="B78" s="81" t="s"/>
      <c r="C78" s="81" t="s"/>
      <c r="D78" s="81" t="s"/>
      <c r="E78" s="81" t="s"/>
      <c r="F78" s="81">
        <f>=E78-D78</f>
        <v>0</v>
      </c>
      <c r="G78" s="81" t="s"/>
      <c r="H78" s="81" t="s"/>
      <c r="I78" s="81" t="s"/>
      <c r="J78" s="81">
        <f>=I78-H78</f>
        <v>0</v>
      </c>
      <c r="K78" s="81">
        <f>=C78*F78+G78*J78</f>
        <v>0</v>
      </c>
      <c r="L78" s="81">
        <f>=K78*B78</f>
        <v>0</v>
      </c>
    </row>
    <row r="79" spans="1:24">
      <c r="A79" s="87">
        <v>25</v>
      </c>
      <c r="B79" s="87" t="s"/>
      <c r="C79" s="87" t="s"/>
      <c r="D79" s="87" t="s"/>
      <c r="E79" s="87" t="s"/>
      <c r="F79" s="87">
        <f>=E79-D79</f>
        <v>0</v>
      </c>
      <c r="G79" s="87" t="s"/>
      <c r="H79" s="87" t="s"/>
      <c r="I79" s="87" t="s"/>
      <c r="J79" s="87">
        <f>=I79-H79</f>
        <v>0</v>
      </c>
      <c r="K79" s="87">
        <f>=C79*F79+G79*J79</f>
        <v>0</v>
      </c>
      <c r="L79" s="87">
        <f>=K79*B79</f>
        <v>0</v>
      </c>
      <c r="M79" s="88" t="s"/>
      <c r="N79" s="88" t="s"/>
      <c r="O79" s="88" t="s"/>
      <c r="P79" s="88" t="s"/>
      <c r="Q79" s="88" t="s"/>
      <c r="R79" s="88">
        <f>=Q79-P79</f>
        <v>0</v>
      </c>
      <c r="S79" s="88" t="s"/>
      <c r="T79" s="88" t="s"/>
      <c r="U79" s="88" t="s"/>
      <c r="V79" s="88">
        <f>=U79-T79</f>
        <v>0</v>
      </c>
      <c r="W79" s="88">
        <f>=O79*R79+S79*V79</f>
        <v>0</v>
      </c>
      <c r="X79" s="88">
        <f>=W79*N79</f>
        <v>0</v>
      </c>
    </row>
    <row r="80" spans="1:24">
      <c r="A80" s="87">
        <v>25</v>
      </c>
      <c r="B80" s="87" t="s"/>
      <c r="C80" s="87" t="s"/>
      <c r="D80" s="87" t="s"/>
      <c r="E80" s="87" t="s"/>
      <c r="F80" s="87">
        <f>=E80-D80</f>
        <v>0</v>
      </c>
      <c r="G80" s="87" t="s"/>
      <c r="H80" s="87" t="s"/>
      <c r="I80" s="87" t="s"/>
      <c r="J80" s="87">
        <f>=I80-H80</f>
        <v>0</v>
      </c>
      <c r="K80" s="87">
        <f>=C80*F80+G80*J80</f>
        <v>0</v>
      </c>
      <c r="L80" s="87">
        <f>=K80*B80</f>
        <v>0</v>
      </c>
      <c r="M80" s="88" t="s"/>
      <c r="N80" s="88" t="s"/>
      <c r="O80" s="88" t="s"/>
      <c r="P80" s="88" t="s"/>
      <c r="Q80" s="88" t="s"/>
      <c r="R80" s="88">
        <f>=Q80-P80</f>
        <v>0</v>
      </c>
      <c r="S80" s="88" t="s"/>
      <c r="T80" s="88" t="s"/>
      <c r="U80" s="88" t="s"/>
      <c r="V80" s="88">
        <f>=U80-T80</f>
        <v>0</v>
      </c>
      <c r="W80" s="88">
        <f>=O80*R80+S80*V80</f>
        <v>0</v>
      </c>
      <c r="X80" s="88">
        <f>=W80*N80</f>
        <v>0</v>
      </c>
    </row>
    <row r="81" spans="1:24">
      <c r="A81" s="87">
        <v>25</v>
      </c>
      <c r="B81" s="87" t="s"/>
      <c r="C81" s="87" t="s"/>
      <c r="D81" s="87" t="s"/>
      <c r="E81" s="87" t="s"/>
      <c r="F81" s="87">
        <f>=E81-D81</f>
        <v>0</v>
      </c>
      <c r="G81" s="87" t="s"/>
      <c r="H81" s="87" t="s"/>
      <c r="I81" s="87" t="s"/>
      <c r="J81" s="87">
        <f>=I81-H81</f>
        <v>0</v>
      </c>
      <c r="K81" s="87">
        <f>=C81*F81+G81*J81</f>
        <v>0</v>
      </c>
      <c r="L81" s="87">
        <f>=K81*B81</f>
        <v>0</v>
      </c>
      <c r="M81" s="88" t="s"/>
      <c r="N81" s="88" t="s"/>
      <c r="O81" s="88" t="s"/>
      <c r="P81" s="88" t="s"/>
      <c r="Q81" s="88" t="s"/>
      <c r="R81" s="88">
        <f>=Q81-P81</f>
        <v>0</v>
      </c>
      <c r="S81" s="88" t="s"/>
      <c r="T81" s="88" t="s"/>
      <c r="U81" s="88" t="s"/>
      <c r="V81" s="88">
        <f>=U81-T81</f>
        <v>0</v>
      </c>
      <c r="W81" s="88">
        <f>=O81*R81+S81*V81</f>
        <v>0</v>
      </c>
      <c r="X81" s="88">
        <f>=W81*N81</f>
        <v>0</v>
      </c>
    </row>
    <row r="82" spans="1:24">
      <c r="A82" s="87">
        <v>25</v>
      </c>
      <c r="B82" s="87" t="s"/>
      <c r="C82" s="87" t="s"/>
      <c r="D82" s="87" t="s"/>
      <c r="E82" s="87" t="s"/>
      <c r="F82" s="87">
        <f>=E82-D82</f>
        <v>0</v>
      </c>
      <c r="G82" s="87" t="s"/>
      <c r="H82" s="87" t="s"/>
      <c r="I82" s="87" t="s"/>
      <c r="J82" s="87">
        <f>=I82-H82</f>
        <v>0</v>
      </c>
      <c r="K82" s="87">
        <f>=C82*F82+G82*J82</f>
        <v>0</v>
      </c>
      <c r="L82" s="87">
        <f>=K82*B82</f>
        <v>0</v>
      </c>
      <c r="M82" s="88" t="s"/>
      <c r="N82" s="88" t="s"/>
      <c r="O82" s="88" t="s"/>
      <c r="P82" s="88" t="s"/>
      <c r="Q82" s="88" t="s"/>
      <c r="R82" s="88">
        <f>=Q82-P82</f>
        <v>0</v>
      </c>
      <c r="S82" s="88" t="s"/>
      <c r="T82" s="88" t="s"/>
      <c r="U82" s="88" t="s"/>
      <c r="V82" s="88">
        <f>=U82-T82</f>
        <v>0</v>
      </c>
      <c r="W82" s="88">
        <f>=O82*R82+S82*V82</f>
        <v>0</v>
      </c>
      <c r="X82" s="88">
        <f>=W82*N82</f>
        <v>0</v>
      </c>
    </row>
    <row r="83" spans="1:24">
      <c r="A83" s="87">
        <v>25</v>
      </c>
      <c r="B83" s="87" t="s"/>
      <c r="C83" s="87" t="s"/>
      <c r="D83" s="87" t="s"/>
      <c r="E83" s="87" t="s"/>
      <c r="F83" s="87">
        <f>=E83-D83</f>
        <v>0</v>
      </c>
      <c r="G83" s="87" t="s"/>
      <c r="H83" s="87" t="s"/>
      <c r="I83" s="87" t="s"/>
      <c r="J83" s="87">
        <f>=I83-H83</f>
        <v>0</v>
      </c>
      <c r="K83" s="87">
        <f>=C83*F83+G83*J83</f>
        <v>0</v>
      </c>
      <c r="L83" s="87">
        <f>=K83*B83</f>
        <v>0</v>
      </c>
      <c r="M83" s="88" t="s"/>
      <c r="N83" s="88" t="s"/>
      <c r="O83" s="88" t="s"/>
      <c r="P83" s="88" t="s"/>
      <c r="Q83" s="88" t="s"/>
      <c r="R83" s="88">
        <f>=Q83-P83</f>
        <v>0</v>
      </c>
      <c r="S83" s="88" t="s"/>
      <c r="T83" s="88" t="s"/>
      <c r="U83" s="88" t="s"/>
      <c r="V83" s="88">
        <f>=U83-T83</f>
        <v>0</v>
      </c>
      <c r="W83" s="88">
        <f>=O83*R83+S83*V83</f>
        <v>0</v>
      </c>
      <c r="X83" s="88">
        <f>=W83*N83</f>
        <v>0</v>
      </c>
    </row>
    <row r="84" spans="1:24">
      <c r="A84" s="87">
        <v>25</v>
      </c>
      <c r="B84" s="87" t="s"/>
      <c r="C84" s="87" t="s"/>
      <c r="D84" s="87" t="s"/>
      <c r="E84" s="87" t="s"/>
      <c r="F84" s="87">
        <f>=E84-D84</f>
        <v>0</v>
      </c>
      <c r="G84" s="87" t="s"/>
      <c r="H84" s="87" t="s"/>
      <c r="I84" s="87" t="s"/>
      <c r="J84" s="87">
        <f>=I84-H84</f>
        <v>0</v>
      </c>
      <c r="K84" s="87">
        <f>=C84*F84+G84*J84</f>
        <v>0</v>
      </c>
      <c r="L84" s="87">
        <f>=K84*B84</f>
        <v>0</v>
      </c>
      <c r="M84" s="88" t="s"/>
      <c r="N84" s="88" t="s"/>
      <c r="O84" s="88" t="s"/>
      <c r="P84" s="88" t="s"/>
      <c r="Q84" s="88" t="s"/>
      <c r="R84" s="88">
        <f>=Q84-P84</f>
        <v>0</v>
      </c>
      <c r="S84" s="88" t="s"/>
      <c r="T84" s="88" t="s"/>
      <c r="U84" s="88" t="s"/>
      <c r="V84" s="88">
        <f>=U84-T84</f>
        <v>0</v>
      </c>
      <c r="W84" s="88">
        <f>=O84*R84+S84*V84</f>
        <v>0</v>
      </c>
      <c r="X84" s="88">
        <f>=W84*N84</f>
        <v>0</v>
      </c>
    </row>
    <row r="85" spans="1:24">
      <c r="A85" s="87">
        <v>25</v>
      </c>
      <c r="B85" s="87" t="s"/>
      <c r="C85" s="87" t="s"/>
      <c r="D85" s="87" t="s"/>
      <c r="E85" s="87" t="s"/>
      <c r="F85" s="87">
        <f>=E85-D85</f>
        <v>0</v>
      </c>
      <c r="G85" s="87" t="s"/>
      <c r="H85" s="87" t="s"/>
      <c r="I85" s="87" t="s"/>
      <c r="J85" s="87">
        <f>=I85-H85</f>
        <v>0</v>
      </c>
      <c r="K85" s="87">
        <f>=C85*F85+G85*J85</f>
        <v>0</v>
      </c>
      <c r="L85" s="87">
        <f>=K85*B85</f>
        <v>0</v>
      </c>
      <c r="M85" s="88" t="s"/>
      <c r="N85" s="88" t="s"/>
      <c r="O85" s="88" t="s"/>
      <c r="P85" s="88" t="s"/>
      <c r="Q85" s="88" t="s"/>
      <c r="R85" s="88">
        <f>=Q85-P85</f>
        <v>0</v>
      </c>
      <c r="S85" s="88" t="s"/>
      <c r="T85" s="88" t="s"/>
      <c r="U85" s="88" t="s"/>
      <c r="V85" s="88">
        <f>=U85-T85</f>
        <v>0</v>
      </c>
      <c r="W85" s="88">
        <f>=O85*R85+S85*V85</f>
        <v>0</v>
      </c>
      <c r="X85" s="88">
        <f>=W85*N85</f>
        <v>0</v>
      </c>
    </row>
    <row r="86" spans="1:24">
      <c r="A86" s="87">
        <v>25</v>
      </c>
      <c r="B86" s="87" t="s"/>
      <c r="C86" s="87" t="s"/>
      <c r="D86" s="87" t="s"/>
      <c r="E86" s="87" t="s"/>
      <c r="F86" s="87">
        <f>=E86-D86</f>
        <v>0</v>
      </c>
      <c r="G86" s="87" t="s"/>
      <c r="H86" s="87" t="s"/>
      <c r="I86" s="87" t="s"/>
      <c r="J86" s="87">
        <f>=I86-H86</f>
        <v>0</v>
      </c>
      <c r="K86" s="87">
        <f>=C86*F86+G86*J86</f>
        <v>0</v>
      </c>
      <c r="L86" s="87">
        <f>=K86*B86</f>
        <v>0</v>
      </c>
      <c r="M86" s="88" t="s"/>
      <c r="N86" s="88" t="s"/>
      <c r="O86" s="88" t="s"/>
      <c r="P86" s="88" t="s"/>
      <c r="Q86" s="88" t="s"/>
      <c r="R86" s="88">
        <f>=Q86-P86</f>
        <v>0</v>
      </c>
      <c r="S86" s="88" t="s"/>
      <c r="T86" s="88" t="s"/>
      <c r="U86" s="88" t="s"/>
      <c r="V86" s="88">
        <f>=U86-T86</f>
        <v>0</v>
      </c>
      <c r="W86" s="88">
        <f>=O86*R86+S86*V86</f>
        <v>0</v>
      </c>
      <c r="X86" s="88">
        <f>=W86*N86</f>
        <v>0</v>
      </c>
    </row>
    <row r="87" spans="1:24">
      <c r="A87" s="87">
        <v>25</v>
      </c>
      <c r="B87" s="87" t="s"/>
      <c r="C87" s="87" t="s"/>
      <c r="D87" s="87" t="s"/>
      <c r="E87" s="87" t="s"/>
      <c r="F87" s="87">
        <f>=E87-D87</f>
        <v>0</v>
      </c>
      <c r="G87" s="87" t="s"/>
      <c r="H87" s="87" t="s"/>
      <c r="I87" s="87" t="s"/>
      <c r="J87" s="87">
        <f>=I87-H87</f>
        <v>0</v>
      </c>
      <c r="K87" s="87">
        <f>=C87*F87+G87*J87</f>
        <v>0</v>
      </c>
      <c r="L87" s="87">
        <f>=K87*B87</f>
        <v>0</v>
      </c>
      <c r="M87" s="88" t="s"/>
      <c r="N87" s="88" t="s"/>
      <c r="O87" s="88" t="s"/>
      <c r="P87" s="88" t="s"/>
      <c r="Q87" s="88" t="s"/>
      <c r="R87" s="88">
        <f>=Q87-P87</f>
        <v>0</v>
      </c>
      <c r="S87" s="88" t="s"/>
      <c r="T87" s="88" t="s"/>
      <c r="U87" s="88" t="s"/>
      <c r="V87" s="88">
        <f>=U87-T87</f>
        <v>0</v>
      </c>
      <c r="W87" s="88">
        <f>=O87*R87+S87*V87</f>
        <v>0</v>
      </c>
      <c r="X87" s="88">
        <f>=W87*N87</f>
        <v>0</v>
      </c>
    </row>
    <row r="88" spans="1:24">
      <c r="A88" s="87">
        <v>25</v>
      </c>
      <c r="B88" s="87" t="s"/>
      <c r="C88" s="87" t="s"/>
      <c r="D88" s="87" t="s"/>
      <c r="E88" s="87" t="s"/>
      <c r="F88" s="87">
        <f>=E88-D88</f>
        <v>0</v>
      </c>
      <c r="G88" s="87" t="s"/>
      <c r="H88" s="87" t="s"/>
      <c r="I88" s="87" t="s"/>
      <c r="J88" s="87">
        <f>=I88-H88</f>
        <v>0</v>
      </c>
      <c r="K88" s="87">
        <f>=C88*F88+G88*J88</f>
        <v>0</v>
      </c>
      <c r="L88" s="87">
        <f>=K88*B88</f>
        <v>0</v>
      </c>
      <c r="M88" s="88" t="s"/>
      <c r="N88" s="88" t="s"/>
      <c r="O88" s="88" t="s"/>
      <c r="P88" s="88" t="s"/>
      <c r="Q88" s="88" t="s"/>
      <c r="R88" s="88">
        <f>=Q88-P88</f>
        <v>0</v>
      </c>
      <c r="S88" s="88" t="s"/>
      <c r="T88" s="88" t="s"/>
      <c r="U88" s="88" t="s"/>
      <c r="V88" s="88">
        <f>=U88-T88</f>
        <v>0</v>
      </c>
      <c r="W88" s="88">
        <f>=O88*R88+S88*V88</f>
        <v>0</v>
      </c>
      <c r="X88" s="88">
        <f>=W88*N88</f>
        <v>0</v>
      </c>
    </row>
    <row r="89" spans="1:24">
      <c r="A89" s="87">
        <v>25</v>
      </c>
      <c r="B89" s="87" t="s"/>
      <c r="C89" s="87" t="s"/>
      <c r="D89" s="87" t="s"/>
      <c r="E89" s="87" t="s"/>
      <c r="F89" s="87">
        <f>=E89-D89</f>
        <v>0</v>
      </c>
      <c r="G89" s="87" t="s"/>
      <c r="H89" s="87" t="s"/>
      <c r="I89" s="87" t="s"/>
      <c r="J89" s="87">
        <f>=I89-H89</f>
        <v>0</v>
      </c>
      <c r="K89" s="87">
        <f>=C89*F89+G89*J89</f>
        <v>0</v>
      </c>
      <c r="L89" s="87">
        <f>=K89*B89</f>
        <v>0</v>
      </c>
      <c r="M89" s="88" t="s"/>
      <c r="N89" s="88" t="s"/>
      <c r="O89" s="88" t="s"/>
      <c r="P89" s="88" t="s"/>
      <c r="Q89" s="88" t="s"/>
      <c r="R89" s="88">
        <f>=Q89-P89</f>
        <v>0</v>
      </c>
      <c r="S89" s="88" t="s"/>
      <c r="T89" s="88" t="s"/>
      <c r="U89" s="88" t="s"/>
      <c r="V89" s="88">
        <f>=U89-T89</f>
        <v>0</v>
      </c>
      <c r="W89" s="88">
        <f>=O89*R89+S89*V89</f>
        <v>0</v>
      </c>
      <c r="X89" s="88">
        <f>=W89*N89</f>
        <v>0</v>
      </c>
    </row>
    <row r="90" spans="1:24">
      <c r="A90" s="87">
        <v>25</v>
      </c>
      <c r="B90" s="87" t="s"/>
      <c r="C90" s="87" t="s"/>
      <c r="D90" s="87" t="s"/>
      <c r="E90" s="87" t="s"/>
      <c r="F90" s="87">
        <f>=E90-D90</f>
        <v>0</v>
      </c>
      <c r="G90" s="87" t="s"/>
      <c r="H90" s="87" t="s"/>
      <c r="I90" s="87" t="s"/>
      <c r="J90" s="87">
        <f>=I90-H90</f>
        <v>0</v>
      </c>
      <c r="K90" s="87">
        <f>=C90*F90+G90*J90</f>
        <v>0</v>
      </c>
      <c r="L90" s="87">
        <f>=K90*B90</f>
        <v>0</v>
      </c>
      <c r="M90" s="88" t="s"/>
      <c r="N90" s="88" t="s"/>
      <c r="O90" s="88" t="s"/>
      <c r="P90" s="88" t="s"/>
      <c r="Q90" s="88" t="s"/>
      <c r="R90" s="88">
        <f>=Q90-P90</f>
        <v>0</v>
      </c>
      <c r="S90" s="88" t="s"/>
      <c r="T90" s="88" t="s"/>
      <c r="U90" s="88" t="s"/>
      <c r="V90" s="88">
        <f>=U90-T90</f>
        <v>0</v>
      </c>
      <c r="W90" s="88">
        <f>=O90*R90+S90*V90</f>
        <v>0</v>
      </c>
      <c r="X90" s="88">
        <f>=W90*N90</f>
        <v>0</v>
      </c>
    </row>
    <row r="91" spans="1:24">
      <c r="A91" s="87">
        <v>25</v>
      </c>
      <c r="B91" s="87" t="s"/>
      <c r="C91" s="87" t="s"/>
      <c r="D91" s="87" t="s"/>
      <c r="E91" s="87" t="s"/>
      <c r="F91" s="87">
        <f>=E91-D91</f>
        <v>0</v>
      </c>
      <c r="G91" s="87" t="s"/>
      <c r="H91" s="87" t="s"/>
      <c r="I91" s="87" t="s"/>
      <c r="J91" s="87">
        <f>=I91-H91</f>
        <v>0</v>
      </c>
      <c r="K91" s="87">
        <f>=C91*F91+G91*J91</f>
        <v>0</v>
      </c>
      <c r="L91" s="87">
        <f>=K91*B91</f>
        <v>0</v>
      </c>
      <c r="M91" s="88" t="s"/>
      <c r="N91" s="88" t="s"/>
      <c r="O91" s="88" t="s"/>
      <c r="P91" s="88" t="s"/>
      <c r="Q91" s="88" t="s"/>
      <c r="R91" s="88">
        <f>=Q91-P91</f>
        <v>0</v>
      </c>
      <c r="S91" s="88" t="s"/>
      <c r="T91" s="88" t="s"/>
      <c r="U91" s="88" t="s"/>
      <c r="V91" s="88">
        <f>=U91-T91</f>
        <v>0</v>
      </c>
      <c r="W91" s="88">
        <f>=O91*R91+S91*V91</f>
        <v>0</v>
      </c>
      <c r="X91" s="88">
        <f>=W91*N91</f>
        <v>0</v>
      </c>
    </row>
    <row r="92" spans="1:24">
      <c r="A92" s="87">
        <v>25</v>
      </c>
      <c r="B92" s="87" t="s"/>
      <c r="C92" s="87" t="s"/>
      <c r="D92" s="87" t="s"/>
      <c r="E92" s="87" t="s"/>
      <c r="F92" s="87">
        <f>=E92-D92</f>
        <v>0</v>
      </c>
      <c r="G92" s="87" t="s"/>
      <c r="H92" s="87" t="s"/>
      <c r="I92" s="87" t="s"/>
      <c r="J92" s="87">
        <f>=I92-H92</f>
        <v>0</v>
      </c>
      <c r="K92" s="87">
        <f>=C92*F92+G92*J92</f>
        <v>0</v>
      </c>
      <c r="L92" s="87">
        <f>=K92*B92</f>
        <v>0</v>
      </c>
      <c r="M92" s="88" t="s"/>
      <c r="N92" s="88" t="s"/>
      <c r="O92" s="88" t="s"/>
      <c r="P92" s="88" t="s"/>
      <c r="Q92" s="88" t="s"/>
      <c r="R92" s="88">
        <f>=Q92-P92</f>
        <v>0</v>
      </c>
      <c r="S92" s="88" t="s"/>
      <c r="T92" s="88" t="s"/>
      <c r="U92" s="88" t="s"/>
      <c r="V92" s="88">
        <f>=U92-T92</f>
        <v>0</v>
      </c>
      <c r="W92" s="88">
        <f>=O92*R92+S92*V92</f>
        <v>0</v>
      </c>
      <c r="X92" s="88">
        <f>=W92*N92</f>
        <v>0</v>
      </c>
    </row>
    <row r="93" spans="1:24">
      <c r="A93" s="87">
        <v>25</v>
      </c>
      <c r="B93" s="87" t="s"/>
      <c r="C93" s="87" t="s"/>
      <c r="D93" s="87" t="s"/>
      <c r="E93" s="87" t="s"/>
      <c r="F93" s="87">
        <f>=E93-D93</f>
        <v>0</v>
      </c>
      <c r="G93" s="87" t="s"/>
      <c r="H93" s="87" t="s"/>
      <c r="I93" s="87" t="s"/>
      <c r="J93" s="87">
        <f>=I93-H93</f>
        <v>0</v>
      </c>
      <c r="K93" s="87">
        <f>=C93*F93+G93*J93</f>
        <v>0</v>
      </c>
      <c r="L93" s="87">
        <f>=K93*B93</f>
        <v>0</v>
      </c>
      <c r="M93" s="88" t="s"/>
      <c r="N93" s="88" t="s"/>
      <c r="O93" s="88" t="s"/>
      <c r="P93" s="88" t="s"/>
      <c r="Q93" s="88" t="s"/>
      <c r="R93" s="88">
        <f>=Q93-P93</f>
        <v>0</v>
      </c>
      <c r="S93" s="88" t="s"/>
      <c r="T93" s="88" t="s"/>
      <c r="U93" s="88" t="s"/>
      <c r="V93" s="88">
        <f>=U93-T93</f>
        <v>0</v>
      </c>
      <c r="W93" s="88">
        <f>=O93*R93+S93*V93</f>
        <v>0</v>
      </c>
      <c r="X93" s="88">
        <f>=W93*N93</f>
        <v>0</v>
      </c>
    </row>
    <row r="94" spans="1:26" s="101" customFormat="1">
      <c r="A94" s="89" t="s"/>
      <c r="B94" s="89" t="s"/>
      <c r="C94" s="89" t="s"/>
      <c r="D94" s="89" t="s"/>
      <c r="E94" s="89" t="s"/>
      <c r="F94" s="89" t="s"/>
      <c r="G94" s="89" t="s"/>
      <c r="H94" s="89" t="s"/>
      <c r="I94" s="89" t="s"/>
      <c r="J94" s="89" t="s"/>
      <c r="K94" s="89" t="s"/>
      <c r="L94" s="89" t="s"/>
      <c r="M94" s="90" t="s"/>
      <c r="N94" s="90" t="s"/>
      <c r="O94" s="90" t="s"/>
      <c r="P94" s="90" t="s"/>
      <c r="Q94" s="90" t="s"/>
      <c r="R94" s="90" t="s"/>
      <c r="S94" s="90" t="s"/>
      <c r="T94" s="90" t="s"/>
      <c r="U94" s="90" t="s"/>
      <c r="V94" s="90" t="s"/>
      <c r="W94" s="90" t="s"/>
      <c r="X94" s="90" t="s"/>
      <c r="Y94" s="90" t="s"/>
      <c r="Z94" s="90" t="s"/>
    </row>
    <row r="95" spans="1:12">
      <c r="A95" s="81">
        <v>30</v>
      </c>
      <c r="B95" s="81" t="s"/>
      <c r="C95" s="81" t="s"/>
      <c r="D95" s="81" t="s"/>
      <c r="E95" s="81" t="s"/>
      <c r="F95" s="81">
        <f>=E95-D95</f>
        <v>0</v>
      </c>
      <c r="G95" s="81" t="s"/>
      <c r="H95" s="81" t="s"/>
      <c r="I95" s="81" t="s"/>
      <c r="J95" s="81">
        <f>=I95-H95</f>
        <v>0</v>
      </c>
      <c r="K95" s="81">
        <f>=C95*F95+G95*J95</f>
        <v>0</v>
      </c>
      <c r="L95" s="81">
        <f>=K95*B95</f>
        <v>0</v>
      </c>
    </row>
    <row r="96" spans="1:12">
      <c r="A96" s="81">
        <v>30</v>
      </c>
      <c r="B96" s="81" t="s"/>
      <c r="C96" s="81" t="s"/>
      <c r="D96" s="81" t="s"/>
      <c r="E96" s="81" t="s"/>
      <c r="F96" s="81">
        <f>=E96-D96</f>
        <v>0</v>
      </c>
      <c r="G96" s="81" t="s"/>
      <c r="H96" s="81" t="s"/>
      <c r="I96" s="81" t="s"/>
      <c r="J96" s="81">
        <f>=I96-H96</f>
        <v>0</v>
      </c>
      <c r="K96" s="81">
        <f>=C96*F96+G96*J96</f>
        <v>0</v>
      </c>
      <c r="L96" s="81">
        <f>=K96*B96</f>
        <v>0</v>
      </c>
    </row>
    <row r="97" spans="1:12">
      <c r="A97" s="81">
        <v>30</v>
      </c>
      <c r="B97" s="81" t="s"/>
      <c r="C97" s="81" t="s"/>
      <c r="D97" s="81" t="s"/>
      <c r="E97" s="81" t="s"/>
      <c r="F97" s="81">
        <f>=E97-D97</f>
        <v>0</v>
      </c>
      <c r="G97" s="81" t="s"/>
      <c r="H97" s="81" t="s"/>
      <c r="I97" s="81" t="s"/>
      <c r="J97" s="81">
        <f>=I97-H97</f>
        <v>0</v>
      </c>
      <c r="K97" s="81">
        <f>=C97*F97+G97*J97</f>
        <v>0</v>
      </c>
      <c r="L97" s="81">
        <f>=K97*B97</f>
        <v>0</v>
      </c>
    </row>
    <row r="98" spans="1:12">
      <c r="A98" s="81">
        <v>30</v>
      </c>
      <c r="B98" s="81" t="s"/>
      <c r="C98" s="81" t="s"/>
      <c r="D98" s="81" t="s"/>
      <c r="E98" s="81" t="s"/>
      <c r="F98" s="81">
        <f>=E98-D98</f>
        <v>0</v>
      </c>
      <c r="G98" s="81" t="s"/>
      <c r="H98" s="81" t="s"/>
      <c r="I98" s="81" t="s"/>
      <c r="J98" s="81">
        <f>=I98-H98</f>
        <v>0</v>
      </c>
      <c r="K98" s="81">
        <f>=C98*F98+G98*J98</f>
        <v>0</v>
      </c>
      <c r="L98" s="81">
        <f>=K98*B98</f>
        <v>0</v>
      </c>
    </row>
    <row r="99" spans="1:12">
      <c r="A99" s="81">
        <v>30</v>
      </c>
      <c r="B99" s="81" t="s"/>
      <c r="C99" s="81" t="s"/>
      <c r="D99" s="81" t="s"/>
      <c r="E99" s="81" t="s"/>
      <c r="F99" s="81">
        <f>=E99-D99</f>
        <v>0</v>
      </c>
      <c r="G99" s="81" t="s"/>
      <c r="H99" s="81" t="s"/>
      <c r="I99" s="81" t="s"/>
      <c r="J99" s="81">
        <f>=I99-H99</f>
        <v>0</v>
      </c>
      <c r="K99" s="81">
        <f>=C99*F99+G99*J99</f>
        <v>0</v>
      </c>
      <c r="L99" s="81">
        <f>=K99*B99</f>
        <v>0</v>
      </c>
    </row>
    <row r="100" spans="1:12">
      <c r="A100" s="81">
        <v>30</v>
      </c>
      <c r="B100" s="81" t="s"/>
      <c r="C100" s="81" t="s"/>
      <c r="D100" s="81" t="s"/>
      <c r="E100" s="81" t="s"/>
      <c r="F100" s="81">
        <f>=E100-D100</f>
        <v>0</v>
      </c>
      <c r="G100" s="81" t="s"/>
      <c r="H100" s="81" t="s"/>
      <c r="I100" s="81" t="s"/>
      <c r="J100" s="81">
        <f>=I100-H100</f>
        <v>0</v>
      </c>
      <c r="K100" s="81">
        <f>=C100*F100+G100*J100</f>
        <v>0</v>
      </c>
      <c r="L100" s="81">
        <f>=K100*B100</f>
        <v>0</v>
      </c>
    </row>
    <row r="101" spans="1:12">
      <c r="A101" s="81">
        <v>30</v>
      </c>
      <c r="B101" s="81" t="s"/>
      <c r="C101" s="81" t="s"/>
      <c r="D101" s="81" t="s"/>
      <c r="E101" s="81" t="s"/>
      <c r="F101" s="81">
        <f>=E101-D101</f>
        <v>0</v>
      </c>
      <c r="G101" s="81" t="s"/>
      <c r="H101" s="81" t="s"/>
      <c r="I101" s="81" t="s"/>
      <c r="J101" s="81">
        <f>=I101-H101</f>
        <v>0</v>
      </c>
      <c r="K101" s="81">
        <f>=C101*F101+G101*J101</f>
        <v>0</v>
      </c>
      <c r="L101" s="81">
        <f>=K101*B101</f>
        <v>0</v>
      </c>
    </row>
    <row r="102" spans="1:12">
      <c r="A102" s="81">
        <v>30</v>
      </c>
      <c r="B102" s="81" t="s"/>
      <c r="C102" s="81" t="s"/>
      <c r="D102" s="81" t="s"/>
      <c r="E102" s="81" t="s"/>
      <c r="F102" s="81">
        <f>=E102-D102</f>
        <v>0</v>
      </c>
      <c r="G102" s="81" t="s"/>
      <c r="H102" s="81" t="s"/>
      <c r="I102" s="81" t="s"/>
      <c r="J102" s="81">
        <f>=I102-H102</f>
        <v>0</v>
      </c>
      <c r="K102" s="81">
        <f>=C102*F102+G102*J102</f>
        <v>0</v>
      </c>
      <c r="L102" s="81">
        <f>=K102*B102</f>
        <v>0</v>
      </c>
    </row>
    <row r="103" spans="1:12">
      <c r="A103" s="81">
        <v>30</v>
      </c>
      <c r="B103" s="81" t="s"/>
      <c r="C103" s="81" t="s"/>
      <c r="D103" s="81" t="s"/>
      <c r="E103" s="81" t="s"/>
      <c r="F103" s="81">
        <f>=E103-D103</f>
        <v>0</v>
      </c>
      <c r="G103" s="81" t="s"/>
      <c r="H103" s="81" t="s"/>
      <c r="I103" s="81" t="s"/>
      <c r="J103" s="81">
        <f>=I103-H103</f>
        <v>0</v>
      </c>
      <c r="K103" s="81">
        <f>=C103*F103+G103*J103</f>
        <v>0</v>
      </c>
      <c r="L103" s="81">
        <f>=K103*B103</f>
        <v>0</v>
      </c>
    </row>
    <row r="104" spans="1:12">
      <c r="A104" s="81">
        <v>30</v>
      </c>
      <c r="B104" s="81" t="s"/>
      <c r="C104" s="81" t="s"/>
      <c r="D104" s="81" t="s"/>
      <c r="E104" s="81" t="s"/>
      <c r="F104" s="81">
        <f>=E104-D104</f>
        <v>0</v>
      </c>
      <c r="G104" s="81" t="s"/>
      <c r="H104" s="81" t="s"/>
      <c r="I104" s="81" t="s"/>
      <c r="J104" s="81">
        <f>=I104-H104</f>
        <v>0</v>
      </c>
      <c r="K104" s="81">
        <f>=C104*F104+G104*J104</f>
        <v>0</v>
      </c>
      <c r="L104" s="81">
        <f>=K104*B104</f>
        <v>0</v>
      </c>
    </row>
    <row r="105" spans="1:12">
      <c r="A105" s="81">
        <v>30</v>
      </c>
      <c r="B105" s="81" t="s"/>
      <c r="C105" s="81" t="s"/>
      <c r="D105" s="81" t="s"/>
      <c r="E105" s="81" t="s"/>
      <c r="F105" s="81">
        <f>=E105-D105</f>
        <v>0</v>
      </c>
      <c r="G105" s="81" t="s"/>
      <c r="H105" s="81" t="s"/>
      <c r="I105" s="81" t="s"/>
      <c r="J105" s="81">
        <f>=I105-H105</f>
        <v>0</v>
      </c>
      <c r="K105" s="81">
        <f>=C105*F105+G105*J105</f>
        <v>0</v>
      </c>
      <c r="L105" s="81">
        <f>=K105*B105</f>
        <v>0</v>
      </c>
    </row>
    <row r="106" spans="1:12">
      <c r="A106" s="81">
        <v>30</v>
      </c>
      <c r="B106" s="81" t="s"/>
      <c r="C106" s="81" t="s"/>
      <c r="D106" s="81" t="s"/>
      <c r="E106" s="81" t="s"/>
      <c r="F106" s="81">
        <f>=E106-D106</f>
        <v>0</v>
      </c>
      <c r="G106" s="81" t="s"/>
      <c r="H106" s="81" t="s"/>
      <c r="I106" s="81" t="s"/>
      <c r="J106" s="81">
        <f>=I106-H106</f>
        <v>0</v>
      </c>
      <c r="K106" s="81">
        <f>=C106*F106+G106*J106</f>
        <v>0</v>
      </c>
      <c r="L106" s="81">
        <f>=K106*B106</f>
        <v>0</v>
      </c>
    </row>
    <row r="107" spans="1:12">
      <c r="A107" s="81">
        <v>30</v>
      </c>
      <c r="B107" s="81" t="s"/>
      <c r="C107" s="81" t="s"/>
      <c r="D107" s="81" t="s"/>
      <c r="E107" s="81" t="s"/>
      <c r="F107" s="81">
        <f>=E107-D107</f>
        <v>0</v>
      </c>
      <c r="G107" s="81" t="s"/>
      <c r="H107" s="81" t="s"/>
      <c r="I107" s="81" t="s"/>
      <c r="J107" s="81">
        <f>=I107-H107</f>
        <v>0</v>
      </c>
      <c r="K107" s="81">
        <f>=C107*F107+G107*J107</f>
        <v>0</v>
      </c>
      <c r="L107" s="81">
        <f>=K107*B107</f>
        <v>0</v>
      </c>
    </row>
    <row r="108" spans="1:12">
      <c r="A108" s="81">
        <v>30</v>
      </c>
      <c r="B108" s="81" t="s"/>
      <c r="C108" s="81" t="s"/>
      <c r="D108" s="81" t="s"/>
      <c r="E108" s="81" t="s"/>
      <c r="F108" s="81">
        <f>=E108-D108</f>
        <v>0</v>
      </c>
      <c r="G108" s="81" t="s"/>
      <c r="H108" s="81" t="s"/>
      <c r="I108" s="81" t="s"/>
      <c r="J108" s="81">
        <f>=I108-H108</f>
        <v>0</v>
      </c>
      <c r="K108" s="81">
        <f>=C108*F108+G108*J108</f>
        <v>0</v>
      </c>
      <c r="L108" s="81">
        <f>=K108*B108</f>
        <v>0</v>
      </c>
    </row>
    <row r="109" spans="1:12">
      <c r="A109" s="81">
        <v>30</v>
      </c>
      <c r="B109" s="81" t="s"/>
      <c r="C109" s="81" t="s"/>
      <c r="D109" s="81" t="s"/>
      <c r="E109" s="81" t="s"/>
      <c r="F109" s="81">
        <f>=E109-D109</f>
        <v>0</v>
      </c>
      <c r="G109" s="81" t="s"/>
      <c r="H109" s="81" t="s"/>
      <c r="I109" s="81" t="s"/>
      <c r="J109" s="81">
        <f>=I109-H109</f>
        <v>0</v>
      </c>
      <c r="K109" s="81">
        <f>=C109*F109+G109*J109</f>
        <v>0</v>
      </c>
      <c r="L109" s="81">
        <f>=K109*B109</f>
        <v>0</v>
      </c>
    </row>
    <row r="110" spans="1:24">
      <c r="A110" s="87">
        <v>30</v>
      </c>
      <c r="B110" s="87" t="s"/>
      <c r="C110" s="87" t="s"/>
      <c r="D110" s="87" t="s"/>
      <c r="E110" s="87" t="s"/>
      <c r="F110" s="87">
        <f>=E110-D110</f>
        <v>0</v>
      </c>
      <c r="G110" s="87" t="s"/>
      <c r="H110" s="87" t="s"/>
      <c r="I110" s="87" t="s"/>
      <c r="J110" s="87">
        <f>=I110-H110</f>
        <v>0</v>
      </c>
      <c r="K110" s="87">
        <f>=C110*F110+G110*J110</f>
        <v>0</v>
      </c>
      <c r="L110" s="87">
        <f>=K110*B110</f>
        <v>0</v>
      </c>
      <c r="M110" s="88" t="s"/>
      <c r="N110" s="88" t="s"/>
      <c r="O110" s="88" t="s"/>
      <c r="P110" s="88" t="s"/>
      <c r="Q110" s="88" t="s"/>
      <c r="R110" s="88">
        <f>=Q110-P110</f>
        <v>0</v>
      </c>
      <c r="S110" s="88" t="s"/>
      <c r="T110" s="88" t="s"/>
      <c r="U110" s="88" t="s"/>
      <c r="V110" s="88">
        <f>=U110-T110</f>
        <v>0</v>
      </c>
      <c r="W110" s="88">
        <f>=O110*R110+S110*V110</f>
        <v>0</v>
      </c>
      <c r="X110" s="88">
        <f>=W110*N110</f>
        <v>0</v>
      </c>
    </row>
    <row r="111" spans="1:24">
      <c r="A111" s="87">
        <v>30</v>
      </c>
      <c r="B111" s="87" t="s"/>
      <c r="C111" s="87" t="s"/>
      <c r="D111" s="87" t="s"/>
      <c r="E111" s="87" t="s"/>
      <c r="F111" s="87">
        <f>=E111-D111</f>
        <v>0</v>
      </c>
      <c r="G111" s="87" t="s"/>
      <c r="H111" s="87" t="s"/>
      <c r="I111" s="87" t="s"/>
      <c r="J111" s="87">
        <f>=I111-H111</f>
        <v>0</v>
      </c>
      <c r="K111" s="87">
        <f>=C111*F111+G111*J111</f>
        <v>0</v>
      </c>
      <c r="L111" s="87">
        <f>=K111*B111</f>
        <v>0</v>
      </c>
      <c r="M111" s="88" t="s"/>
      <c r="N111" s="88" t="s"/>
      <c r="O111" s="88" t="s"/>
      <c r="P111" s="88" t="s"/>
      <c r="Q111" s="88" t="s"/>
      <c r="R111" s="88">
        <f>=Q111-P111</f>
        <v>0</v>
      </c>
      <c r="S111" s="88" t="s"/>
      <c r="T111" s="88" t="s"/>
      <c r="U111" s="88" t="s"/>
      <c r="V111" s="88">
        <f>=U111-T111</f>
        <v>0</v>
      </c>
      <c r="W111" s="88">
        <f>=O111*R111+S111*V111</f>
        <v>0</v>
      </c>
      <c r="X111" s="88">
        <f>=W111*N111</f>
        <v>0</v>
      </c>
    </row>
    <row r="112" spans="1:24">
      <c r="A112" s="87">
        <v>30</v>
      </c>
      <c r="B112" s="87" t="s"/>
      <c r="C112" s="87" t="s"/>
      <c r="D112" s="87" t="s"/>
      <c r="E112" s="87" t="s"/>
      <c r="F112" s="87">
        <f>=E112-D112</f>
        <v>0</v>
      </c>
      <c r="G112" s="87" t="s"/>
      <c r="H112" s="87" t="s"/>
      <c r="I112" s="87" t="s"/>
      <c r="J112" s="87">
        <f>=I112-H112</f>
        <v>0</v>
      </c>
      <c r="K112" s="87">
        <f>=C112*F112+G112*J112</f>
        <v>0</v>
      </c>
      <c r="L112" s="87">
        <f>=K112*B112</f>
        <v>0</v>
      </c>
      <c r="M112" s="88" t="s"/>
      <c r="N112" s="88" t="s"/>
      <c r="O112" s="88" t="s"/>
      <c r="P112" s="88" t="s"/>
      <c r="Q112" s="88" t="s"/>
      <c r="R112" s="88">
        <f>=Q112-P112</f>
        <v>0</v>
      </c>
      <c r="S112" s="88" t="s"/>
      <c r="T112" s="88" t="s"/>
      <c r="U112" s="88" t="s"/>
      <c r="V112" s="88">
        <f>=U112-T112</f>
        <v>0</v>
      </c>
      <c r="W112" s="88">
        <f>=O112*R112+S112*V112</f>
        <v>0</v>
      </c>
      <c r="X112" s="88">
        <f>=W112*N112</f>
        <v>0</v>
      </c>
    </row>
    <row r="113" spans="1:24">
      <c r="A113" s="87">
        <v>30</v>
      </c>
      <c r="B113" s="87" t="s"/>
      <c r="C113" s="87" t="s"/>
      <c r="D113" s="87" t="s"/>
      <c r="E113" s="87" t="s"/>
      <c r="F113" s="87">
        <f>=E113-D113</f>
        <v>0</v>
      </c>
      <c r="G113" s="87" t="s"/>
      <c r="H113" s="87" t="s"/>
      <c r="I113" s="87" t="s"/>
      <c r="J113" s="87">
        <f>=I113-H113</f>
        <v>0</v>
      </c>
      <c r="K113" s="87">
        <f>=C113*F113+G113*J113</f>
        <v>0</v>
      </c>
      <c r="L113" s="87">
        <f>=K113*B113</f>
        <v>0</v>
      </c>
      <c r="M113" s="88" t="s"/>
      <c r="N113" s="88" t="s"/>
      <c r="O113" s="88" t="s"/>
      <c r="P113" s="88" t="s"/>
      <c r="Q113" s="88" t="s"/>
      <c r="R113" s="88">
        <f>=Q113-P113</f>
        <v>0</v>
      </c>
      <c r="S113" s="88" t="s"/>
      <c r="T113" s="88" t="s"/>
      <c r="U113" s="88" t="s"/>
      <c r="V113" s="88">
        <f>=U113-T113</f>
        <v>0</v>
      </c>
      <c r="W113" s="88">
        <f>=O113*R113+S113*V113</f>
        <v>0</v>
      </c>
      <c r="X113" s="88">
        <f>=W113*N113</f>
        <v>0</v>
      </c>
    </row>
    <row r="114" spans="1:24">
      <c r="A114" s="87">
        <v>30</v>
      </c>
      <c r="B114" s="87" t="s"/>
      <c r="C114" s="87" t="s"/>
      <c r="D114" s="87" t="s"/>
      <c r="E114" s="87" t="s"/>
      <c r="F114" s="87">
        <f>=E114-D114</f>
        <v>0</v>
      </c>
      <c r="G114" s="87" t="s"/>
      <c r="H114" s="87" t="s"/>
      <c r="I114" s="87" t="s"/>
      <c r="J114" s="87">
        <f>=I114-H114</f>
        <v>0</v>
      </c>
      <c r="K114" s="87">
        <f>=C114*F114+G114*J114</f>
        <v>0</v>
      </c>
      <c r="L114" s="87">
        <f>=K114*B114</f>
        <v>0</v>
      </c>
      <c r="M114" s="88" t="s"/>
      <c r="N114" s="88" t="s"/>
      <c r="O114" s="88" t="s"/>
      <c r="P114" s="88" t="s"/>
      <c r="Q114" s="88" t="s"/>
      <c r="R114" s="88">
        <f>=Q114-P114</f>
        <v>0</v>
      </c>
      <c r="S114" s="88" t="s"/>
      <c r="T114" s="88" t="s"/>
      <c r="U114" s="88" t="s"/>
      <c r="V114" s="88">
        <f>=U114-T114</f>
        <v>0</v>
      </c>
      <c r="W114" s="88">
        <f>=O114*R114+S114*V114</f>
        <v>0</v>
      </c>
      <c r="X114" s="88">
        <f>=W114*N114</f>
        <v>0</v>
      </c>
    </row>
    <row r="115" spans="1:24">
      <c r="A115" s="87">
        <v>30</v>
      </c>
      <c r="B115" s="87" t="s"/>
      <c r="C115" s="87" t="s"/>
      <c r="D115" s="87" t="s"/>
      <c r="E115" s="87" t="s"/>
      <c r="F115" s="87">
        <f>=E115-D115</f>
        <v>0</v>
      </c>
      <c r="G115" s="87" t="s"/>
      <c r="H115" s="87" t="s"/>
      <c r="I115" s="87" t="s"/>
      <c r="J115" s="87">
        <f>=I115-H115</f>
        <v>0</v>
      </c>
      <c r="K115" s="87">
        <f>=C115*F115+G115*J115</f>
        <v>0</v>
      </c>
      <c r="L115" s="87">
        <f>=K115*B115</f>
        <v>0</v>
      </c>
      <c r="M115" s="88" t="s"/>
      <c r="N115" s="88" t="s"/>
      <c r="O115" s="88" t="s"/>
      <c r="P115" s="88" t="s"/>
      <c r="Q115" s="88" t="s"/>
      <c r="R115" s="88">
        <f>=Q115-P115</f>
        <v>0</v>
      </c>
      <c r="S115" s="88" t="s"/>
      <c r="T115" s="88" t="s"/>
      <c r="U115" s="88" t="s"/>
      <c r="V115" s="88">
        <f>=U115-T115</f>
        <v>0</v>
      </c>
      <c r="W115" s="88">
        <f>=O115*R115+S115*V115</f>
        <v>0</v>
      </c>
      <c r="X115" s="88">
        <f>=W115*N115</f>
        <v>0</v>
      </c>
    </row>
    <row r="116" spans="1:24">
      <c r="A116" s="87">
        <v>30</v>
      </c>
      <c r="B116" s="87" t="s"/>
      <c r="C116" s="87" t="s"/>
      <c r="D116" s="87" t="s"/>
      <c r="E116" s="87" t="s"/>
      <c r="F116" s="87">
        <f>=E116-D116</f>
        <v>0</v>
      </c>
      <c r="G116" s="87" t="s"/>
      <c r="H116" s="87" t="s"/>
      <c r="I116" s="87" t="s"/>
      <c r="J116" s="87">
        <f>=I116-H116</f>
        <v>0</v>
      </c>
      <c r="K116" s="87">
        <f>=C116*F116+G116*J116</f>
        <v>0</v>
      </c>
      <c r="L116" s="87">
        <f>=K116*B116</f>
        <v>0</v>
      </c>
      <c r="M116" s="88" t="s"/>
      <c r="N116" s="88" t="s"/>
      <c r="O116" s="88" t="s"/>
      <c r="P116" s="88" t="s"/>
      <c r="Q116" s="88" t="s"/>
      <c r="R116" s="88">
        <f>=Q116-P116</f>
        <v>0</v>
      </c>
      <c r="S116" s="88" t="s"/>
      <c r="T116" s="88" t="s"/>
      <c r="U116" s="88" t="s"/>
      <c r="V116" s="88">
        <f>=U116-T116</f>
        <v>0</v>
      </c>
      <c r="W116" s="88">
        <f>=O116*R116+S116*V116</f>
        <v>0</v>
      </c>
      <c r="X116" s="88">
        <f>=W116*N116</f>
        <v>0</v>
      </c>
    </row>
    <row r="117" spans="1:24">
      <c r="A117" s="87">
        <v>30</v>
      </c>
      <c r="B117" s="87" t="s"/>
      <c r="C117" s="87" t="s"/>
      <c r="D117" s="87" t="s"/>
      <c r="E117" s="87" t="s"/>
      <c r="F117" s="87">
        <f>=E117-D117</f>
        <v>0</v>
      </c>
      <c r="G117" s="87" t="s"/>
      <c r="H117" s="87" t="s"/>
      <c r="I117" s="87" t="s"/>
      <c r="J117" s="87">
        <f>=I117-H117</f>
        <v>0</v>
      </c>
      <c r="K117" s="87">
        <f>=C117*F117+G117*J117</f>
        <v>0</v>
      </c>
      <c r="L117" s="87">
        <f>=K117*B117</f>
        <v>0</v>
      </c>
      <c r="M117" s="88" t="s"/>
      <c r="N117" s="88" t="s"/>
      <c r="O117" s="88" t="s"/>
      <c r="P117" s="88" t="s"/>
      <c r="Q117" s="88" t="s"/>
      <c r="R117" s="88">
        <f>=Q117-P117</f>
        <v>0</v>
      </c>
      <c r="S117" s="88" t="s"/>
      <c r="T117" s="88" t="s"/>
      <c r="U117" s="88" t="s"/>
      <c r="V117" s="88">
        <f>=U117-T117</f>
        <v>0</v>
      </c>
      <c r="W117" s="88">
        <f>=O117*R117+S117*V117</f>
        <v>0</v>
      </c>
      <c r="X117" s="88">
        <f>=W117*N117</f>
        <v>0</v>
      </c>
    </row>
    <row r="118" spans="1:24">
      <c r="A118" s="87">
        <v>30</v>
      </c>
      <c r="B118" s="87" t="s"/>
      <c r="C118" s="87" t="s"/>
      <c r="D118" s="87" t="s"/>
      <c r="E118" s="87" t="s"/>
      <c r="F118" s="87">
        <f>=E118-D118</f>
        <v>0</v>
      </c>
      <c r="G118" s="87" t="s"/>
      <c r="H118" s="87" t="s"/>
      <c r="I118" s="87" t="s"/>
      <c r="J118" s="87">
        <f>=I118-H118</f>
        <v>0</v>
      </c>
      <c r="K118" s="87">
        <f>=C118*F118+G118*J118</f>
        <v>0</v>
      </c>
      <c r="L118" s="87">
        <f>=K118*B118</f>
        <v>0</v>
      </c>
      <c r="M118" s="88" t="s"/>
      <c r="N118" s="88" t="s"/>
      <c r="O118" s="88" t="s"/>
      <c r="P118" s="88" t="s"/>
      <c r="Q118" s="88" t="s"/>
      <c r="R118" s="88">
        <f>=Q118-P118</f>
        <v>0</v>
      </c>
      <c r="S118" s="88" t="s"/>
      <c r="T118" s="88" t="s"/>
      <c r="U118" s="88" t="s"/>
      <c r="V118" s="88">
        <f>=U118-T118</f>
        <v>0</v>
      </c>
      <c r="W118" s="88">
        <f>=O118*R118+S118*V118</f>
        <v>0</v>
      </c>
      <c r="X118" s="88">
        <f>=W118*N118</f>
        <v>0</v>
      </c>
    </row>
    <row r="119" spans="1:24">
      <c r="A119" s="87">
        <v>30</v>
      </c>
      <c r="B119" s="87" t="s"/>
      <c r="C119" s="87" t="s"/>
      <c r="D119" s="87" t="s"/>
      <c r="E119" s="87" t="s"/>
      <c r="F119" s="87">
        <f>=E119-D119</f>
        <v>0</v>
      </c>
      <c r="G119" s="87" t="s"/>
      <c r="H119" s="87" t="s"/>
      <c r="I119" s="87" t="s"/>
      <c r="J119" s="87">
        <f>=I119-H119</f>
        <v>0</v>
      </c>
      <c r="K119" s="87">
        <f>=C119*F119+G119*J119</f>
        <v>0</v>
      </c>
      <c r="L119" s="87">
        <f>=K119*B119</f>
        <v>0</v>
      </c>
      <c r="M119" s="88" t="s"/>
      <c r="N119" s="88" t="s"/>
      <c r="O119" s="88" t="s"/>
      <c r="P119" s="88" t="s"/>
      <c r="Q119" s="88" t="s"/>
      <c r="R119" s="88">
        <f>=Q119-P119</f>
        <v>0</v>
      </c>
      <c r="S119" s="88" t="s"/>
      <c r="T119" s="88" t="s"/>
      <c r="U119" s="88" t="s"/>
      <c r="V119" s="88">
        <f>=U119-T119</f>
        <v>0</v>
      </c>
      <c r="W119" s="88">
        <f>=O119*R119+S119*V119</f>
        <v>0</v>
      </c>
      <c r="X119" s="88">
        <f>=W119*N119</f>
        <v>0</v>
      </c>
    </row>
    <row r="120" spans="1:24">
      <c r="A120" s="87">
        <v>30</v>
      </c>
      <c r="B120" s="87" t="s"/>
      <c r="C120" s="87" t="s"/>
      <c r="D120" s="87" t="s"/>
      <c r="E120" s="87" t="s"/>
      <c r="F120" s="87">
        <f>=E120-D120</f>
        <v>0</v>
      </c>
      <c r="G120" s="87" t="s"/>
      <c r="H120" s="87" t="s"/>
      <c r="I120" s="87" t="s"/>
      <c r="J120" s="87">
        <f>=I120-H120</f>
        <v>0</v>
      </c>
      <c r="K120" s="87">
        <f>=C120*F120+G120*J120</f>
        <v>0</v>
      </c>
      <c r="L120" s="87">
        <f>=K120*B120</f>
        <v>0</v>
      </c>
      <c r="M120" s="88" t="s"/>
      <c r="N120" s="88" t="s"/>
      <c r="O120" s="88" t="s"/>
      <c r="P120" s="88" t="s"/>
      <c r="Q120" s="88" t="s"/>
      <c r="R120" s="88">
        <f>=Q120-P120</f>
        <v>0</v>
      </c>
      <c r="S120" s="88" t="s"/>
      <c r="T120" s="88" t="s"/>
      <c r="U120" s="88" t="s"/>
      <c r="V120" s="88">
        <f>=U120-T120</f>
        <v>0</v>
      </c>
      <c r="W120" s="88">
        <f>=O120*R120+S120*V120</f>
        <v>0</v>
      </c>
      <c r="X120" s="88">
        <f>=W120*N120</f>
        <v>0</v>
      </c>
    </row>
    <row r="121" spans="1:24">
      <c r="A121" s="87">
        <v>30</v>
      </c>
      <c r="B121" s="87" t="s"/>
      <c r="C121" s="87" t="s"/>
      <c r="D121" s="87" t="s"/>
      <c r="E121" s="87" t="s"/>
      <c r="F121" s="87">
        <f>=E121-D121</f>
        <v>0</v>
      </c>
      <c r="G121" s="87" t="s"/>
      <c r="H121" s="87" t="s"/>
      <c r="I121" s="87" t="s"/>
      <c r="J121" s="87">
        <f>=I121-H121</f>
        <v>0</v>
      </c>
      <c r="K121" s="87">
        <f>=C121*F121+G121*J121</f>
        <v>0</v>
      </c>
      <c r="L121" s="87">
        <f>=K121*B121</f>
        <v>0</v>
      </c>
      <c r="M121" s="88" t="s"/>
      <c r="N121" s="88" t="s"/>
      <c r="O121" s="88" t="s"/>
      <c r="P121" s="88" t="s"/>
      <c r="Q121" s="88" t="s"/>
      <c r="R121" s="88">
        <f>=Q121-P121</f>
        <v>0</v>
      </c>
      <c r="S121" s="88" t="s"/>
      <c r="T121" s="88" t="s"/>
      <c r="U121" s="88" t="s"/>
      <c r="V121" s="88">
        <f>=U121-T121</f>
        <v>0</v>
      </c>
      <c r="W121" s="88">
        <f>=O121*R121+S121*V121</f>
        <v>0</v>
      </c>
      <c r="X121" s="88">
        <f>=W121*N121</f>
        <v>0</v>
      </c>
    </row>
    <row r="122" spans="1:24">
      <c r="A122" s="87">
        <v>30</v>
      </c>
      <c r="B122" s="87" t="s"/>
      <c r="C122" s="87" t="s"/>
      <c r="D122" s="87" t="s"/>
      <c r="E122" s="87" t="s"/>
      <c r="F122" s="87">
        <f>=E122-D122</f>
        <v>0</v>
      </c>
      <c r="G122" s="87" t="s"/>
      <c r="H122" s="87" t="s"/>
      <c r="I122" s="87" t="s"/>
      <c r="J122" s="87">
        <f>=I122-H122</f>
        <v>0</v>
      </c>
      <c r="K122" s="87">
        <f>=C122*F122+G122*J122</f>
        <v>0</v>
      </c>
      <c r="L122" s="87">
        <f>=K122*B122</f>
        <v>0</v>
      </c>
      <c r="M122" s="88" t="s"/>
      <c r="N122" s="88" t="s"/>
      <c r="O122" s="88" t="s"/>
      <c r="P122" s="88" t="s"/>
      <c r="Q122" s="88" t="s"/>
      <c r="R122" s="88">
        <f>=Q122-P122</f>
        <v>0</v>
      </c>
      <c r="S122" s="88" t="s"/>
      <c r="T122" s="88" t="s"/>
      <c r="U122" s="88" t="s"/>
      <c r="V122" s="88">
        <f>=U122-T122</f>
        <v>0</v>
      </c>
      <c r="W122" s="88">
        <f>=O122*R122+S122*V122</f>
        <v>0</v>
      </c>
      <c r="X122" s="88">
        <f>=W122*N122</f>
        <v>0</v>
      </c>
    </row>
    <row r="123" spans="1:24">
      <c r="A123" s="87">
        <v>30</v>
      </c>
      <c r="B123" s="87" t="s"/>
      <c r="C123" s="87" t="s"/>
      <c r="D123" s="87" t="s"/>
      <c r="E123" s="87" t="s"/>
      <c r="F123" s="87">
        <f>=E123-D123</f>
        <v>0</v>
      </c>
      <c r="G123" s="87" t="s"/>
      <c r="H123" s="87" t="s"/>
      <c r="I123" s="87" t="s"/>
      <c r="J123" s="87">
        <f>=I123-H123</f>
        <v>0</v>
      </c>
      <c r="K123" s="87">
        <f>=C123*F123+G123*J123</f>
        <v>0</v>
      </c>
      <c r="L123" s="87">
        <f>=K123*B123</f>
        <v>0</v>
      </c>
      <c r="M123" s="88" t="s"/>
      <c r="N123" s="88" t="s"/>
      <c r="O123" s="88" t="s"/>
      <c r="P123" s="88" t="s"/>
      <c r="Q123" s="88" t="s"/>
      <c r="R123" s="88">
        <f>=Q123-P123</f>
        <v>0</v>
      </c>
      <c r="S123" s="88" t="s"/>
      <c r="T123" s="88" t="s"/>
      <c r="U123" s="88" t="s"/>
      <c r="V123" s="88">
        <f>=U123-T123</f>
        <v>0</v>
      </c>
      <c r="W123" s="88">
        <f>=O123*R123+S123*V123</f>
        <v>0</v>
      </c>
      <c r="X123" s="88">
        <f>=W123*N123</f>
        <v>0</v>
      </c>
    </row>
    <row r="124" spans="1:24">
      <c r="A124" s="87">
        <v>30</v>
      </c>
      <c r="B124" s="87" t="s"/>
      <c r="C124" s="87" t="s"/>
      <c r="D124" s="87" t="s"/>
      <c r="E124" s="87" t="s"/>
      <c r="F124" s="87">
        <f>=E124-D124</f>
        <v>0</v>
      </c>
      <c r="G124" s="87" t="s"/>
      <c r="H124" s="87" t="s"/>
      <c r="I124" s="87" t="s"/>
      <c r="J124" s="87">
        <f>=I124-H124</f>
        <v>0</v>
      </c>
      <c r="K124" s="87">
        <f>=C124*F124+G124*J124</f>
        <v>0</v>
      </c>
      <c r="L124" s="87">
        <f>=K124*B124</f>
        <v>0</v>
      </c>
      <c r="M124" s="88" t="s"/>
      <c r="N124" s="88" t="s"/>
      <c r="O124" s="88" t="s"/>
      <c r="P124" s="88" t="s"/>
      <c r="Q124" s="88" t="s"/>
      <c r="R124" s="88">
        <f>=Q124-P124</f>
        <v>0</v>
      </c>
      <c r="S124" s="88" t="s"/>
      <c r="T124" s="88" t="s"/>
      <c r="U124" s="88" t="s"/>
      <c r="V124" s="88">
        <f>=U124-T124</f>
        <v>0</v>
      </c>
      <c r="W124" s="88">
        <f>=O124*R124+S124*V124</f>
        <v>0</v>
      </c>
      <c r="X124" s="88">
        <f>=W124*N124</f>
        <v>0</v>
      </c>
    </row>
    <row r="125" spans="1:26" s="101" customFormat="1">
      <c r="A125" s="89" t="s"/>
      <c r="B125" s="89" t="s"/>
      <c r="C125" s="89" t="s"/>
      <c r="D125" s="89" t="s"/>
      <c r="E125" s="89" t="s"/>
      <c r="F125" s="89" t="s"/>
      <c r="G125" s="89" t="s"/>
      <c r="H125" s="89" t="s"/>
      <c r="I125" s="89" t="s"/>
      <c r="J125" s="89" t="s"/>
      <c r="K125" s="89" t="s"/>
      <c r="L125" s="89" t="s"/>
      <c r="M125" s="90" t="s"/>
      <c r="N125" s="90" t="s"/>
      <c r="O125" s="90" t="s"/>
      <c r="P125" s="90" t="s"/>
      <c r="Q125" s="90" t="s"/>
      <c r="R125" s="90" t="s"/>
      <c r="S125" s="90" t="s"/>
      <c r="T125" s="90" t="s"/>
      <c r="U125" s="90" t="s"/>
      <c r="V125" s="90" t="s"/>
      <c r="W125" s="90" t="s"/>
      <c r="X125" s="90" t="s"/>
      <c r="Y125" s="90" t="s"/>
      <c r="Z125" s="90" t="s"/>
    </row>
    <row r="126" spans="1:12">
      <c r="A126" s="81">
        <v>35</v>
      </c>
      <c r="B126" s="81" t="s"/>
      <c r="C126" s="81" t="s"/>
      <c r="D126" s="81" t="s"/>
      <c r="E126" s="81" t="s"/>
      <c r="F126" s="81">
        <f>=E126-D126</f>
        <v>0</v>
      </c>
      <c r="G126" s="81" t="s"/>
      <c r="H126" s="81" t="s"/>
      <c r="I126" s="81" t="s"/>
      <c r="J126" s="81">
        <f>=I126-H126</f>
        <v>0</v>
      </c>
      <c r="K126" s="81">
        <f>=C126*F126+G126*J126</f>
        <v>0</v>
      </c>
      <c r="L126" s="81">
        <f>=K126*B126</f>
        <v>0</v>
      </c>
    </row>
    <row r="127" spans="1:12">
      <c r="A127" s="81">
        <v>35</v>
      </c>
      <c r="B127" s="81" t="s"/>
      <c r="C127" s="81" t="s"/>
      <c r="D127" s="81" t="s"/>
      <c r="E127" s="81" t="s"/>
      <c r="F127" s="81">
        <f>=E127-D127</f>
        <v>0</v>
      </c>
      <c r="G127" s="81" t="s"/>
      <c r="H127" s="81" t="s"/>
      <c r="I127" s="81" t="s"/>
      <c r="J127" s="81">
        <f>=I127-H127</f>
        <v>0</v>
      </c>
      <c r="K127" s="81">
        <f>=C127*F127+G127*J127</f>
        <v>0</v>
      </c>
      <c r="L127" s="81">
        <f>=K127*B127</f>
        <v>0</v>
      </c>
    </row>
    <row r="128" spans="1:12">
      <c r="A128" s="81">
        <v>35</v>
      </c>
      <c r="B128" s="81" t="s"/>
      <c r="C128" s="81" t="s"/>
      <c r="D128" s="81" t="s"/>
      <c r="E128" s="81" t="s"/>
      <c r="F128" s="81">
        <f>=E128-D128</f>
        <v>0</v>
      </c>
      <c r="G128" s="81" t="s"/>
      <c r="H128" s="81" t="s"/>
      <c r="I128" s="81" t="s"/>
      <c r="J128" s="81">
        <f>=I128-H128</f>
        <v>0</v>
      </c>
      <c r="K128" s="81">
        <f>=C128*F128+G128*J128</f>
        <v>0</v>
      </c>
      <c r="L128" s="81">
        <f>=K128*B128</f>
        <v>0</v>
      </c>
    </row>
    <row r="129" spans="1:12">
      <c r="A129" s="81">
        <v>35</v>
      </c>
      <c r="B129" s="81" t="s"/>
      <c r="C129" s="81" t="s"/>
      <c r="D129" s="81" t="s"/>
      <c r="E129" s="81" t="s"/>
      <c r="F129" s="81">
        <f>=E129-D129</f>
        <v>0</v>
      </c>
      <c r="G129" s="81" t="s"/>
      <c r="H129" s="81" t="s"/>
      <c r="I129" s="81" t="s"/>
      <c r="J129" s="81">
        <f>=I129-H129</f>
        <v>0</v>
      </c>
      <c r="K129" s="81">
        <f>=C129*F129+G129*J129</f>
        <v>0</v>
      </c>
      <c r="L129" s="81">
        <f>=K129*B129</f>
        <v>0</v>
      </c>
    </row>
    <row r="130" spans="1:12">
      <c r="A130" s="81">
        <v>35</v>
      </c>
      <c r="B130" s="81" t="s"/>
      <c r="C130" s="81" t="s"/>
      <c r="D130" s="81" t="s"/>
      <c r="E130" s="81" t="s"/>
      <c r="F130" s="81">
        <f>=E130-D130</f>
        <v>0</v>
      </c>
      <c r="G130" s="81" t="s"/>
      <c r="H130" s="81" t="s"/>
      <c r="I130" s="81" t="s"/>
      <c r="J130" s="81">
        <f>=I130-H130</f>
        <v>0</v>
      </c>
      <c r="K130" s="81">
        <f>=C130*F130+G130*J130</f>
        <v>0</v>
      </c>
      <c r="L130" s="81">
        <f>=K130*B130</f>
        <v>0</v>
      </c>
    </row>
    <row r="131" spans="1:12">
      <c r="A131" s="81">
        <v>35</v>
      </c>
      <c r="B131" s="81" t="s"/>
      <c r="C131" s="81" t="s"/>
      <c r="D131" s="81" t="s"/>
      <c r="E131" s="81" t="s"/>
      <c r="F131" s="81">
        <f>=E131-D131</f>
        <v>0</v>
      </c>
      <c r="G131" s="81" t="s"/>
      <c r="H131" s="81" t="s"/>
      <c r="I131" s="81" t="s"/>
      <c r="J131" s="81">
        <f>=I131-H131</f>
        <v>0</v>
      </c>
      <c r="K131" s="81">
        <f>=C131*F131+G131*J131</f>
        <v>0</v>
      </c>
      <c r="L131" s="81">
        <f>=K131*B131</f>
        <v>0</v>
      </c>
    </row>
    <row r="132" spans="1:12">
      <c r="A132" s="81">
        <v>35</v>
      </c>
      <c r="B132" s="81" t="s"/>
      <c r="C132" s="81" t="s"/>
      <c r="D132" s="81" t="s"/>
      <c r="E132" s="81" t="s"/>
      <c r="F132" s="81">
        <f>=E132-D132</f>
        <v>0</v>
      </c>
      <c r="G132" s="81" t="s"/>
      <c r="H132" s="81" t="s"/>
      <c r="I132" s="81" t="s"/>
      <c r="J132" s="81">
        <f>=I132-H132</f>
        <v>0</v>
      </c>
      <c r="K132" s="81">
        <f>=C132*F132+G132*J132</f>
        <v>0</v>
      </c>
      <c r="L132" s="81">
        <f>=K132*B132</f>
        <v>0</v>
      </c>
    </row>
    <row r="133" spans="1:12">
      <c r="A133" s="81">
        <v>35</v>
      </c>
      <c r="B133" s="81" t="s"/>
      <c r="C133" s="81" t="s"/>
      <c r="D133" s="81" t="s"/>
      <c r="E133" s="81" t="s"/>
      <c r="F133" s="81">
        <f>=E133-D133</f>
        <v>0</v>
      </c>
      <c r="G133" s="81" t="s"/>
      <c r="H133" s="81" t="s"/>
      <c r="I133" s="81" t="s"/>
      <c r="J133" s="81">
        <f>=I133-H133</f>
        <v>0</v>
      </c>
      <c r="K133" s="81">
        <f>=C133*F133+G133*J133</f>
        <v>0</v>
      </c>
      <c r="L133" s="81">
        <f>=K133*B133</f>
        <v>0</v>
      </c>
    </row>
    <row r="134" spans="1:12">
      <c r="A134" s="81">
        <v>35</v>
      </c>
      <c r="B134" s="81" t="s"/>
      <c r="C134" s="81" t="s"/>
      <c r="D134" s="81" t="s"/>
      <c r="E134" s="81" t="s"/>
      <c r="F134" s="81">
        <f>=E134-D134</f>
        <v>0</v>
      </c>
      <c r="G134" s="81" t="s"/>
      <c r="H134" s="81" t="s"/>
      <c r="I134" s="81" t="s"/>
      <c r="J134" s="81">
        <f>=I134-H134</f>
        <v>0</v>
      </c>
      <c r="K134" s="81">
        <f>=C134*F134+G134*J134</f>
        <v>0</v>
      </c>
      <c r="L134" s="81">
        <f>=K134*B134</f>
        <v>0</v>
      </c>
    </row>
    <row r="135" spans="1:12">
      <c r="A135" s="81">
        <v>35</v>
      </c>
      <c r="B135" s="81" t="s"/>
      <c r="C135" s="81" t="s"/>
      <c r="D135" s="81" t="s"/>
      <c r="E135" s="81" t="s"/>
      <c r="F135" s="81">
        <f>=E135-D135</f>
        <v>0</v>
      </c>
      <c r="G135" s="81" t="s"/>
      <c r="H135" s="81" t="s"/>
      <c r="I135" s="81" t="s"/>
      <c r="J135" s="81">
        <f>=I135-H135</f>
        <v>0</v>
      </c>
      <c r="K135" s="81">
        <f>=C135*F135+G135*J135</f>
        <v>0</v>
      </c>
      <c r="L135" s="81">
        <f>=K135*B135</f>
        <v>0</v>
      </c>
    </row>
    <row r="136" spans="1:12">
      <c r="A136" s="81">
        <v>35</v>
      </c>
      <c r="B136" s="81" t="s"/>
      <c r="C136" s="81" t="s"/>
      <c r="D136" s="81" t="s"/>
      <c r="E136" s="81" t="s"/>
      <c r="F136" s="81">
        <f>=E136-D136</f>
        <v>0</v>
      </c>
      <c r="G136" s="81" t="s"/>
      <c r="H136" s="81" t="s"/>
      <c r="I136" s="81" t="s"/>
      <c r="J136" s="81">
        <f>=I136-H136</f>
        <v>0</v>
      </c>
      <c r="K136" s="81">
        <f>=C136*F136+G136*J136</f>
        <v>0</v>
      </c>
      <c r="L136" s="81">
        <f>=K136*B136</f>
        <v>0</v>
      </c>
    </row>
    <row r="137" spans="1:12">
      <c r="A137" s="81">
        <v>35</v>
      </c>
      <c r="B137" s="81" t="s"/>
      <c r="C137" s="81" t="s"/>
      <c r="D137" s="81" t="s"/>
      <c r="E137" s="81" t="s"/>
      <c r="F137" s="81">
        <f>=E137-D137</f>
        <v>0</v>
      </c>
      <c r="G137" s="81" t="s"/>
      <c r="H137" s="81" t="s"/>
      <c r="I137" s="81" t="s"/>
      <c r="J137" s="81">
        <f>=I137-H137</f>
        <v>0</v>
      </c>
      <c r="K137" s="81">
        <f>=C137*F137+G137*J137</f>
        <v>0</v>
      </c>
      <c r="L137" s="81">
        <f>=K137*B137</f>
        <v>0</v>
      </c>
    </row>
    <row r="138" spans="1:12">
      <c r="A138" s="81">
        <v>35</v>
      </c>
      <c r="B138" s="81" t="s"/>
      <c r="C138" s="81" t="s"/>
      <c r="D138" s="81" t="s"/>
      <c r="E138" s="81" t="s"/>
      <c r="F138" s="81">
        <f>=E138-D138</f>
        <v>0</v>
      </c>
      <c r="G138" s="81" t="s"/>
      <c r="H138" s="81" t="s"/>
      <c r="I138" s="81" t="s"/>
      <c r="J138" s="81">
        <f>=I138-H138</f>
        <v>0</v>
      </c>
      <c r="K138" s="81">
        <f>=C138*F138+G138*J138</f>
        <v>0</v>
      </c>
      <c r="L138" s="81">
        <f>=K138*B138</f>
        <v>0</v>
      </c>
    </row>
    <row r="139" spans="1:12">
      <c r="A139" s="81">
        <v>35</v>
      </c>
      <c r="B139" s="81" t="s"/>
      <c r="C139" s="81" t="s"/>
      <c r="D139" s="81" t="s"/>
      <c r="E139" s="81" t="s"/>
      <c r="F139" s="81">
        <f>=E139-D139</f>
        <v>0</v>
      </c>
      <c r="G139" s="81" t="s"/>
      <c r="H139" s="81" t="s"/>
      <c r="I139" s="81" t="s"/>
      <c r="J139" s="81">
        <f>=I139-H139</f>
        <v>0</v>
      </c>
      <c r="K139" s="81">
        <f>=C139*F139+G139*J139</f>
        <v>0</v>
      </c>
      <c r="L139" s="81">
        <f>=K139*B139</f>
        <v>0</v>
      </c>
    </row>
    <row r="140" spans="1:12">
      <c r="A140" s="81">
        <v>35</v>
      </c>
      <c r="B140" s="81" t="s"/>
      <c r="C140" s="81" t="s"/>
      <c r="D140" s="81" t="s"/>
      <c r="E140" s="81" t="s"/>
      <c r="F140" s="81">
        <f>=E140-D140</f>
        <v>0</v>
      </c>
      <c r="G140" s="81" t="s"/>
      <c r="H140" s="81" t="s"/>
      <c r="I140" s="81" t="s"/>
      <c r="J140" s="81">
        <f>=I140-H140</f>
        <v>0</v>
      </c>
      <c r="K140" s="81">
        <f>=C140*F140+G140*J140</f>
        <v>0</v>
      </c>
      <c r="L140" s="81">
        <f>=K140*B140</f>
        <v>0</v>
      </c>
    </row>
    <row r="141" spans="1:24">
      <c r="A141" s="87">
        <v>35</v>
      </c>
      <c r="B141" s="87" t="s"/>
      <c r="C141" s="87" t="s"/>
      <c r="D141" s="87" t="s"/>
      <c r="E141" s="87" t="s"/>
      <c r="F141" s="87">
        <f>=E141-D141</f>
        <v>0</v>
      </c>
      <c r="G141" s="87" t="s"/>
      <c r="H141" s="87" t="s"/>
      <c r="I141" s="87" t="s"/>
      <c r="J141" s="87">
        <f>=I141-H141</f>
        <v>0</v>
      </c>
      <c r="K141" s="87">
        <f>=C141*F141+G141*J141</f>
        <v>0</v>
      </c>
      <c r="L141" s="87">
        <f>=K141*B141</f>
        <v>0</v>
      </c>
      <c r="M141" s="88" t="s"/>
      <c r="N141" s="88" t="s"/>
      <c r="O141" s="88" t="s"/>
      <c r="P141" s="88" t="s"/>
      <c r="Q141" s="88" t="s"/>
      <c r="R141" s="88">
        <f>=Q141-P141</f>
        <v>0</v>
      </c>
      <c r="S141" s="88" t="s"/>
      <c r="T141" s="88" t="s"/>
      <c r="U141" s="88" t="s"/>
      <c r="V141" s="88">
        <f>=U141-T141</f>
        <v>0</v>
      </c>
      <c r="W141" s="88">
        <f>=O141*R141+S141*V141</f>
        <v>0</v>
      </c>
      <c r="X141" s="88">
        <f>=W141*N141</f>
        <v>0</v>
      </c>
    </row>
    <row r="142" spans="1:24">
      <c r="A142" s="87">
        <v>35</v>
      </c>
      <c r="B142" s="87" t="s"/>
      <c r="C142" s="87" t="s"/>
      <c r="D142" s="87" t="s"/>
      <c r="E142" s="87" t="s"/>
      <c r="F142" s="87">
        <f>=E142-D142</f>
        <v>0</v>
      </c>
      <c r="G142" s="87" t="s"/>
      <c r="H142" s="87" t="s"/>
      <c r="I142" s="87" t="s"/>
      <c r="J142" s="87">
        <f>=I142-H142</f>
        <v>0</v>
      </c>
      <c r="K142" s="87">
        <f>=C142*F142+G142*J142</f>
        <v>0</v>
      </c>
      <c r="L142" s="87">
        <f>=K142*B142</f>
        <v>0</v>
      </c>
      <c r="M142" s="88" t="s"/>
      <c r="N142" s="88" t="s"/>
      <c r="O142" s="88" t="s"/>
      <c r="P142" s="88" t="s"/>
      <c r="Q142" s="88" t="s"/>
      <c r="R142" s="88">
        <f>=Q142-P142</f>
        <v>0</v>
      </c>
      <c r="S142" s="88" t="s"/>
      <c r="T142" s="88" t="s"/>
      <c r="U142" s="88" t="s"/>
      <c r="V142" s="88">
        <f>=U142-T142</f>
        <v>0</v>
      </c>
      <c r="W142" s="88">
        <f>=O142*R142+S142*V142</f>
        <v>0</v>
      </c>
      <c r="X142" s="88">
        <f>=W142*N142</f>
        <v>0</v>
      </c>
    </row>
    <row r="143" spans="1:24">
      <c r="A143" s="87">
        <v>35</v>
      </c>
      <c r="B143" s="87" t="s"/>
      <c r="C143" s="87" t="s"/>
      <c r="D143" s="87" t="s"/>
      <c r="E143" s="87" t="s"/>
      <c r="F143" s="87">
        <f>=E143-D143</f>
        <v>0</v>
      </c>
      <c r="G143" s="87" t="s"/>
      <c r="H143" s="87" t="s"/>
      <c r="I143" s="87" t="s"/>
      <c r="J143" s="87">
        <f>=I143-H143</f>
        <v>0</v>
      </c>
      <c r="K143" s="87">
        <f>=C143*F143+G143*J143</f>
        <v>0</v>
      </c>
      <c r="L143" s="87">
        <f>=K143*B143</f>
        <v>0</v>
      </c>
      <c r="M143" s="88" t="s"/>
      <c r="N143" s="88" t="s"/>
      <c r="O143" s="88" t="s"/>
      <c r="P143" s="88" t="s"/>
      <c r="Q143" s="88" t="s"/>
      <c r="R143" s="88">
        <f>=Q143-P143</f>
        <v>0</v>
      </c>
      <c r="S143" s="88" t="s"/>
      <c r="T143" s="88" t="s"/>
      <c r="U143" s="88" t="s"/>
      <c r="V143" s="88">
        <f>=U143-T143</f>
        <v>0</v>
      </c>
      <c r="W143" s="88">
        <f>=O143*R143+S143*V143</f>
        <v>0</v>
      </c>
      <c r="X143" s="88">
        <f>=W143*N143</f>
        <v>0</v>
      </c>
    </row>
    <row r="144" spans="1:24">
      <c r="A144" s="87">
        <v>35</v>
      </c>
      <c r="B144" s="87" t="s"/>
      <c r="C144" s="87" t="s"/>
      <c r="D144" s="87" t="s"/>
      <c r="E144" s="87" t="s"/>
      <c r="F144" s="87">
        <f>=E144-D144</f>
        <v>0</v>
      </c>
      <c r="G144" s="87" t="s"/>
      <c r="H144" s="87" t="s"/>
      <c r="I144" s="87" t="s"/>
      <c r="J144" s="87">
        <f>=I144-H144</f>
        <v>0</v>
      </c>
      <c r="K144" s="87">
        <f>=C144*F144+G144*J144</f>
        <v>0</v>
      </c>
      <c r="L144" s="87">
        <f>=K144*B144</f>
        <v>0</v>
      </c>
      <c r="M144" s="88" t="s"/>
      <c r="N144" s="88" t="s"/>
      <c r="O144" s="88" t="s"/>
      <c r="P144" s="88" t="s"/>
      <c r="Q144" s="88" t="s"/>
      <c r="R144" s="88">
        <f>=Q144-P144</f>
        <v>0</v>
      </c>
      <c r="S144" s="88" t="s"/>
      <c r="T144" s="88" t="s"/>
      <c r="U144" s="88" t="s"/>
      <c r="V144" s="88">
        <f>=U144-T144</f>
        <v>0</v>
      </c>
      <c r="W144" s="88">
        <f>=O144*R144+S144*V144</f>
        <v>0</v>
      </c>
      <c r="X144" s="88">
        <f>=W144*N144</f>
        <v>0</v>
      </c>
    </row>
    <row r="145" spans="1:24">
      <c r="A145" s="87">
        <v>35</v>
      </c>
      <c r="B145" s="87" t="s"/>
      <c r="C145" s="87" t="s"/>
      <c r="D145" s="87" t="s"/>
      <c r="E145" s="87" t="s"/>
      <c r="F145" s="87">
        <f>=E145-D145</f>
        <v>0</v>
      </c>
      <c r="G145" s="87" t="s"/>
      <c r="H145" s="87" t="s"/>
      <c r="I145" s="87" t="s"/>
      <c r="J145" s="87">
        <f>=I145-H145</f>
        <v>0</v>
      </c>
      <c r="K145" s="87">
        <f>=C145*F145+G145*J145</f>
        <v>0</v>
      </c>
      <c r="L145" s="87">
        <f>=K145*B145</f>
        <v>0</v>
      </c>
      <c r="M145" s="88" t="s"/>
      <c r="N145" s="88" t="s"/>
      <c r="O145" s="88" t="s"/>
      <c r="P145" s="88" t="s"/>
      <c r="Q145" s="88" t="s"/>
      <c r="R145" s="88">
        <f>=Q145-P145</f>
        <v>0</v>
      </c>
      <c r="S145" s="88" t="s"/>
      <c r="T145" s="88" t="s"/>
      <c r="U145" s="88" t="s"/>
      <c r="V145" s="88">
        <f>=U145-T145</f>
        <v>0</v>
      </c>
      <c r="W145" s="88">
        <f>=O145*R145+S145*V145</f>
        <v>0</v>
      </c>
      <c r="X145" s="88">
        <f>=W145*N145</f>
        <v>0</v>
      </c>
    </row>
    <row r="146" spans="1:24">
      <c r="A146" s="87">
        <v>35</v>
      </c>
      <c r="B146" s="87" t="s"/>
      <c r="C146" s="87" t="s"/>
      <c r="D146" s="87" t="s"/>
      <c r="E146" s="87" t="s"/>
      <c r="F146" s="87">
        <f>=E146-D146</f>
        <v>0</v>
      </c>
      <c r="G146" s="87" t="s"/>
      <c r="H146" s="87" t="s"/>
      <c r="I146" s="87" t="s"/>
      <c r="J146" s="87">
        <f>=I146-H146</f>
        <v>0</v>
      </c>
      <c r="K146" s="87">
        <f>=C146*F146+G146*J146</f>
        <v>0</v>
      </c>
      <c r="L146" s="87">
        <f>=K146*B146</f>
        <v>0</v>
      </c>
      <c r="M146" s="88" t="s"/>
      <c r="N146" s="88" t="s"/>
      <c r="O146" s="88" t="s"/>
      <c r="P146" s="88" t="s"/>
      <c r="Q146" s="88" t="s"/>
      <c r="R146" s="88">
        <f>=Q146-P146</f>
        <v>0</v>
      </c>
      <c r="S146" s="88" t="s"/>
      <c r="T146" s="88" t="s"/>
      <c r="U146" s="88" t="s"/>
      <c r="V146" s="88">
        <f>=U146-T146</f>
        <v>0</v>
      </c>
      <c r="W146" s="88">
        <f>=O146*R146+S146*V146</f>
        <v>0</v>
      </c>
      <c r="X146" s="88">
        <f>=W146*N146</f>
        <v>0</v>
      </c>
    </row>
    <row r="147" spans="1:24">
      <c r="A147" s="87">
        <v>35</v>
      </c>
      <c r="B147" s="87" t="s"/>
      <c r="C147" s="87" t="s"/>
      <c r="D147" s="87" t="s"/>
      <c r="E147" s="87" t="s"/>
      <c r="F147" s="87">
        <f>=E147-D147</f>
        <v>0</v>
      </c>
      <c r="G147" s="87" t="s"/>
      <c r="H147" s="87" t="s"/>
      <c r="I147" s="87" t="s"/>
      <c r="J147" s="87">
        <f>=I147-H147</f>
        <v>0</v>
      </c>
      <c r="K147" s="87">
        <f>=C147*F147+G147*J147</f>
        <v>0</v>
      </c>
      <c r="L147" s="87">
        <f>=K147*B147</f>
        <v>0</v>
      </c>
      <c r="M147" s="88" t="s"/>
      <c r="N147" s="88" t="s"/>
      <c r="O147" s="88" t="s"/>
      <c r="P147" s="88" t="s"/>
      <c r="Q147" s="88" t="s"/>
      <c r="R147" s="88">
        <f>=Q147-P147</f>
        <v>0</v>
      </c>
      <c r="S147" s="88" t="s"/>
      <c r="T147" s="88" t="s"/>
      <c r="U147" s="88" t="s"/>
      <c r="V147" s="88">
        <f>=U147-T147</f>
        <v>0</v>
      </c>
      <c r="W147" s="88">
        <f>=O147*R147+S147*V147</f>
        <v>0</v>
      </c>
      <c r="X147" s="88">
        <f>=W147*N147</f>
        <v>0</v>
      </c>
    </row>
    <row r="148" spans="1:24">
      <c r="A148" s="87">
        <v>35</v>
      </c>
      <c r="B148" s="87" t="s"/>
      <c r="C148" s="87" t="s"/>
      <c r="D148" s="87" t="s"/>
      <c r="E148" s="87" t="s"/>
      <c r="F148" s="87">
        <f>=E148-D148</f>
        <v>0</v>
      </c>
      <c r="G148" s="87" t="s"/>
      <c r="H148" s="87" t="s"/>
      <c r="I148" s="87" t="s"/>
      <c r="J148" s="87">
        <f>=I148-H148</f>
        <v>0</v>
      </c>
      <c r="K148" s="87">
        <f>=C148*F148+G148*J148</f>
        <v>0</v>
      </c>
      <c r="L148" s="87">
        <f>=K148*B148</f>
        <v>0</v>
      </c>
      <c r="M148" s="88" t="s"/>
      <c r="N148" s="88" t="s"/>
      <c r="O148" s="88" t="s"/>
      <c r="P148" s="88" t="s"/>
      <c r="Q148" s="88" t="s"/>
      <c r="R148" s="88">
        <f>=Q148-P148</f>
        <v>0</v>
      </c>
      <c r="S148" s="88" t="s"/>
      <c r="T148" s="88" t="s"/>
      <c r="U148" s="88" t="s"/>
      <c r="V148" s="88">
        <f>=U148-T148</f>
        <v>0</v>
      </c>
      <c r="W148" s="88">
        <f>=O148*R148+S148*V148</f>
        <v>0</v>
      </c>
      <c r="X148" s="88">
        <f>=W148*N148</f>
        <v>0</v>
      </c>
    </row>
    <row r="149" spans="1:24">
      <c r="A149" s="87">
        <v>35</v>
      </c>
      <c r="B149" s="87" t="s"/>
      <c r="C149" s="87" t="s"/>
      <c r="D149" s="87" t="s"/>
      <c r="E149" s="87" t="s"/>
      <c r="F149" s="87">
        <f>=E149-D149</f>
        <v>0</v>
      </c>
      <c r="G149" s="87" t="s"/>
      <c r="H149" s="87" t="s"/>
      <c r="I149" s="87" t="s"/>
      <c r="J149" s="87">
        <f>=I149-H149</f>
        <v>0</v>
      </c>
      <c r="K149" s="87">
        <f>=C149*F149+G149*J149</f>
        <v>0</v>
      </c>
      <c r="L149" s="87">
        <f>=K149*B149</f>
        <v>0</v>
      </c>
      <c r="M149" s="88" t="s"/>
      <c r="N149" s="88" t="s"/>
      <c r="O149" s="88" t="s"/>
      <c r="P149" s="88" t="s"/>
      <c r="Q149" s="88" t="s"/>
      <c r="R149" s="88">
        <f>=Q149-P149</f>
        <v>0</v>
      </c>
      <c r="S149" s="88" t="s"/>
      <c r="T149" s="88" t="s"/>
      <c r="U149" s="88" t="s"/>
      <c r="V149" s="88">
        <f>=U149-T149</f>
        <v>0</v>
      </c>
      <c r="W149" s="88">
        <f>=O149*R149+S149*V149</f>
        <v>0</v>
      </c>
      <c r="X149" s="88">
        <f>=W149*N149</f>
        <v>0</v>
      </c>
    </row>
    <row r="150" spans="1:24">
      <c r="A150" s="87">
        <v>35</v>
      </c>
      <c r="B150" s="87" t="s"/>
      <c r="C150" s="87" t="s"/>
      <c r="D150" s="87" t="s"/>
      <c r="E150" s="87" t="s"/>
      <c r="F150" s="87">
        <f>=E150-D150</f>
        <v>0</v>
      </c>
      <c r="G150" s="87" t="s"/>
      <c r="H150" s="87" t="s"/>
      <c r="I150" s="87" t="s"/>
      <c r="J150" s="87">
        <f>=I150-H150</f>
        <v>0</v>
      </c>
      <c r="K150" s="87">
        <f>=C150*F150+G150*J150</f>
        <v>0</v>
      </c>
      <c r="L150" s="87">
        <f>=K150*B150</f>
        <v>0</v>
      </c>
      <c r="M150" s="88" t="s"/>
      <c r="N150" s="88" t="s"/>
      <c r="O150" s="88" t="s"/>
      <c r="P150" s="88" t="s"/>
      <c r="Q150" s="88" t="s"/>
      <c r="R150" s="88">
        <f>=Q150-P150</f>
        <v>0</v>
      </c>
      <c r="S150" s="88" t="s"/>
      <c r="T150" s="88" t="s"/>
      <c r="U150" s="88" t="s"/>
      <c r="V150" s="88">
        <f>=U150-T150</f>
        <v>0</v>
      </c>
      <c r="W150" s="88">
        <f>=O150*R150+S150*V150</f>
        <v>0</v>
      </c>
      <c r="X150" s="88">
        <f>=W150*N150</f>
        <v>0</v>
      </c>
    </row>
    <row r="151" spans="1:24">
      <c r="A151" s="87">
        <v>35</v>
      </c>
      <c r="B151" s="87" t="s"/>
      <c r="C151" s="87" t="s"/>
      <c r="D151" s="87" t="s"/>
      <c r="E151" s="87" t="s"/>
      <c r="F151" s="87">
        <f>=E151-D151</f>
        <v>0</v>
      </c>
      <c r="G151" s="87" t="s"/>
      <c r="H151" s="87" t="s"/>
      <c r="I151" s="87" t="s"/>
      <c r="J151" s="87">
        <f>=I151-H151</f>
        <v>0</v>
      </c>
      <c r="K151" s="87">
        <f>=C151*F151+G151*J151</f>
        <v>0</v>
      </c>
      <c r="L151" s="87">
        <f>=K151*B151</f>
        <v>0</v>
      </c>
      <c r="M151" s="88" t="s"/>
      <c r="N151" s="88" t="s"/>
      <c r="O151" s="88" t="s"/>
      <c r="P151" s="88" t="s"/>
      <c r="Q151" s="88" t="s"/>
      <c r="R151" s="88">
        <f>=Q151-P151</f>
        <v>0</v>
      </c>
      <c r="S151" s="88" t="s"/>
      <c r="T151" s="88" t="s"/>
      <c r="U151" s="88" t="s"/>
      <c r="V151" s="88">
        <f>=U151-T151</f>
        <v>0</v>
      </c>
      <c r="W151" s="88">
        <f>=O151*R151+S151*V151</f>
        <v>0</v>
      </c>
      <c r="X151" s="88">
        <f>=W151*N151</f>
        <v>0</v>
      </c>
    </row>
    <row r="152" spans="1:24">
      <c r="A152" s="87">
        <v>35</v>
      </c>
      <c r="B152" s="87" t="s"/>
      <c r="C152" s="87" t="s"/>
      <c r="D152" s="87" t="s"/>
      <c r="E152" s="87" t="s"/>
      <c r="F152" s="87">
        <f>=E152-D152</f>
        <v>0</v>
      </c>
      <c r="G152" s="87" t="s"/>
      <c r="H152" s="87" t="s"/>
      <c r="I152" s="87" t="s"/>
      <c r="J152" s="87">
        <f>=I152-H152</f>
        <v>0</v>
      </c>
      <c r="K152" s="87">
        <f>=C152*F152+G152*J152</f>
        <v>0</v>
      </c>
      <c r="L152" s="87">
        <f>=K152*B152</f>
        <v>0</v>
      </c>
      <c r="M152" s="88" t="s"/>
      <c r="N152" s="88" t="s"/>
      <c r="O152" s="88" t="s"/>
      <c r="P152" s="88" t="s"/>
      <c r="Q152" s="88" t="s"/>
      <c r="R152" s="88">
        <f>=Q152-P152</f>
        <v>0</v>
      </c>
      <c r="S152" s="88" t="s"/>
      <c r="T152" s="88" t="s"/>
      <c r="U152" s="88" t="s"/>
      <c r="V152" s="88">
        <f>=U152-T152</f>
        <v>0</v>
      </c>
      <c r="W152" s="88">
        <f>=O152*R152+S152*V152</f>
        <v>0</v>
      </c>
      <c r="X152" s="88">
        <f>=W152*N152</f>
        <v>0</v>
      </c>
    </row>
    <row r="153" spans="1:24">
      <c r="A153" s="87">
        <v>35</v>
      </c>
      <c r="B153" s="87" t="s"/>
      <c r="C153" s="87" t="s"/>
      <c r="D153" s="87" t="s"/>
      <c r="E153" s="87" t="s"/>
      <c r="F153" s="87">
        <f>=E153-D153</f>
        <v>0</v>
      </c>
      <c r="G153" s="87" t="s"/>
      <c r="H153" s="87" t="s"/>
      <c r="I153" s="87" t="s"/>
      <c r="J153" s="87">
        <f>=I153-H153</f>
        <v>0</v>
      </c>
      <c r="K153" s="87">
        <f>=C153*F153+G153*J153</f>
        <v>0</v>
      </c>
      <c r="L153" s="87">
        <f>=K153*B153</f>
        <v>0</v>
      </c>
      <c r="M153" s="88" t="s"/>
      <c r="N153" s="88" t="s"/>
      <c r="O153" s="88" t="s"/>
      <c r="P153" s="88" t="s"/>
      <c r="Q153" s="88" t="s"/>
      <c r="R153" s="88">
        <f>=Q153-P153</f>
        <v>0</v>
      </c>
      <c r="S153" s="88" t="s"/>
      <c r="T153" s="88" t="s"/>
      <c r="U153" s="88" t="s"/>
      <c r="V153" s="88">
        <f>=U153-T153</f>
        <v>0</v>
      </c>
      <c r="W153" s="88">
        <f>=O153*R153+S153*V153</f>
        <v>0</v>
      </c>
      <c r="X153" s="88">
        <f>=W153*N153</f>
        <v>0</v>
      </c>
    </row>
    <row r="154" spans="1:24">
      <c r="A154" s="87">
        <v>35</v>
      </c>
      <c r="B154" s="87" t="s"/>
      <c r="C154" s="87" t="s"/>
      <c r="D154" s="87" t="s"/>
      <c r="E154" s="87" t="s"/>
      <c r="F154" s="87">
        <f>=E154-D154</f>
        <v>0</v>
      </c>
      <c r="G154" s="87" t="s"/>
      <c r="H154" s="87" t="s"/>
      <c r="I154" s="87" t="s"/>
      <c r="J154" s="87">
        <f>=I154-H154</f>
        <v>0</v>
      </c>
      <c r="K154" s="87">
        <f>=C154*F154+G154*J154</f>
        <v>0</v>
      </c>
      <c r="L154" s="87">
        <f>=K154*B154</f>
        <v>0</v>
      </c>
      <c r="M154" s="88" t="s"/>
      <c r="N154" s="88" t="s"/>
      <c r="O154" s="88" t="s"/>
      <c r="P154" s="88" t="s"/>
      <c r="Q154" s="88" t="s"/>
      <c r="R154" s="88">
        <f>=Q154-P154</f>
        <v>0</v>
      </c>
      <c r="S154" s="88" t="s"/>
      <c r="T154" s="88" t="s"/>
      <c r="U154" s="88" t="s"/>
      <c r="V154" s="88">
        <f>=U154-T154</f>
        <v>0</v>
      </c>
      <c r="W154" s="88">
        <f>=O154*R154+S154*V154</f>
        <v>0</v>
      </c>
      <c r="X154" s="88">
        <f>=W154*N154</f>
        <v>0</v>
      </c>
    </row>
    <row r="155" spans="1:24">
      <c r="A155" s="87">
        <v>35</v>
      </c>
      <c r="B155" s="87" t="s"/>
      <c r="C155" s="87" t="s"/>
      <c r="D155" s="87" t="s"/>
      <c r="E155" s="87" t="s"/>
      <c r="F155" s="87">
        <f>=E155-D155</f>
        <v>0</v>
      </c>
      <c r="G155" s="87" t="s"/>
      <c r="H155" s="87" t="s"/>
      <c r="I155" s="87" t="s"/>
      <c r="J155" s="87">
        <f>=I155-H155</f>
        <v>0</v>
      </c>
      <c r="K155" s="87">
        <f>=C155*F155+G155*J155</f>
        <v>0</v>
      </c>
      <c r="L155" s="87">
        <f>=K155*B155</f>
        <v>0</v>
      </c>
      <c r="M155" s="88" t="s"/>
      <c r="N155" s="88" t="s"/>
      <c r="O155" s="88" t="s"/>
      <c r="P155" s="88" t="s"/>
      <c r="Q155" s="88" t="s"/>
      <c r="R155" s="88">
        <f>=Q155-P155</f>
        <v>0</v>
      </c>
      <c r="S155" s="88" t="s"/>
      <c r="T155" s="88" t="s"/>
      <c r="U155" s="88" t="s"/>
      <c r="V155" s="88">
        <f>=U155-T155</f>
        <v>0</v>
      </c>
      <c r="W155" s="88">
        <f>=O155*R155+S155*V155</f>
        <v>0</v>
      </c>
      <c r="X155" s="88">
        <f>=W155*N155</f>
        <v>0</v>
      </c>
    </row>
    <row r="156" spans="1:26" s="101" customFormat="1">
      <c r="A156" s="89" t="s"/>
      <c r="B156" s="89" t="s"/>
      <c r="C156" s="89" t="s"/>
      <c r="D156" s="89" t="s"/>
      <c r="E156" s="89" t="s"/>
      <c r="F156" s="89" t="s"/>
      <c r="G156" s="89" t="s"/>
      <c r="H156" s="89" t="s"/>
      <c r="I156" s="89" t="s"/>
      <c r="J156" s="89" t="s"/>
      <c r="K156" s="89" t="s"/>
      <c r="L156" s="89" t="s"/>
      <c r="M156" s="90" t="s"/>
      <c r="N156" s="90" t="s"/>
      <c r="O156" s="90" t="s"/>
      <c r="P156" s="90" t="s"/>
      <c r="Q156" s="90" t="s"/>
      <c r="R156" s="90" t="s"/>
      <c r="S156" s="90" t="s"/>
      <c r="T156" s="90" t="s"/>
      <c r="U156" s="90" t="s"/>
      <c r="V156" s="90" t="s"/>
      <c r="W156" s="90" t="s"/>
      <c r="X156" s="90" t="s"/>
      <c r="Y156" s="90" t="s"/>
      <c r="Z156" s="90" t="s"/>
    </row>
    <row r="157" spans="1:12">
      <c r="A157" s="81">
        <v>40</v>
      </c>
      <c r="B157" s="81" t="s"/>
      <c r="C157" s="81" t="s"/>
      <c r="D157" s="81" t="s"/>
      <c r="E157" s="81" t="s"/>
      <c r="F157" s="81">
        <f>=E157-D157</f>
        <v>0</v>
      </c>
      <c r="G157" s="81" t="s"/>
      <c r="H157" s="81" t="s"/>
      <c r="I157" s="81" t="s"/>
      <c r="J157" s="81">
        <f>=I157-H157</f>
        <v>0</v>
      </c>
      <c r="K157" s="81">
        <f>=C157*F157+G157*J157</f>
        <v>0</v>
      </c>
      <c r="L157" s="81">
        <f>=K157*B157</f>
        <v>0</v>
      </c>
    </row>
    <row r="158" spans="1:12">
      <c r="A158" s="81">
        <v>40</v>
      </c>
      <c r="B158" s="81" t="s"/>
      <c r="C158" s="81" t="s"/>
      <c r="D158" s="81" t="s"/>
      <c r="E158" s="81" t="s"/>
      <c r="F158" s="81">
        <f>=E158-D158</f>
        <v>0</v>
      </c>
      <c r="G158" s="81" t="s"/>
      <c r="H158" s="81" t="s"/>
      <c r="I158" s="81" t="s"/>
      <c r="J158" s="81">
        <f>=I158-H158</f>
        <v>0</v>
      </c>
      <c r="K158" s="81">
        <f>=C158*F158+G158*J158</f>
        <v>0</v>
      </c>
      <c r="L158" s="81">
        <f>=K158*B158</f>
        <v>0</v>
      </c>
    </row>
    <row r="159" spans="1:12">
      <c r="A159" s="81">
        <v>40</v>
      </c>
      <c r="B159" s="81" t="s"/>
      <c r="C159" s="81" t="s"/>
      <c r="D159" s="81" t="s"/>
      <c r="E159" s="81" t="s"/>
      <c r="F159" s="81">
        <f>=E159-D159</f>
        <v>0</v>
      </c>
      <c r="G159" s="81" t="s"/>
      <c r="H159" s="81" t="s"/>
      <c r="I159" s="81" t="s"/>
      <c r="J159" s="81">
        <f>=I159-H159</f>
        <v>0</v>
      </c>
      <c r="K159" s="81">
        <f>=C159*F159+G159*J159</f>
        <v>0</v>
      </c>
      <c r="L159" s="81">
        <f>=K159*B159</f>
        <v>0</v>
      </c>
    </row>
    <row r="160" spans="1:12">
      <c r="A160" s="81">
        <v>40</v>
      </c>
      <c r="B160" s="81" t="s"/>
      <c r="C160" s="81" t="s"/>
      <c r="D160" s="81" t="s"/>
      <c r="E160" s="81" t="s"/>
      <c r="F160" s="81">
        <f>=E160-D160</f>
        <v>0</v>
      </c>
      <c r="G160" s="81" t="s"/>
      <c r="H160" s="81" t="s"/>
      <c r="I160" s="81" t="s"/>
      <c r="J160" s="81">
        <f>=I160-H160</f>
        <v>0</v>
      </c>
      <c r="K160" s="81">
        <f>=C160*F160+G160*J160</f>
        <v>0</v>
      </c>
      <c r="L160" s="81">
        <f>=K160*B160</f>
        <v>0</v>
      </c>
    </row>
    <row r="161" spans="1:12">
      <c r="A161" s="81">
        <v>40</v>
      </c>
      <c r="B161" s="81" t="s"/>
      <c r="C161" s="81" t="s"/>
      <c r="D161" s="81" t="s"/>
      <c r="E161" s="81" t="s"/>
      <c r="F161" s="81">
        <f>=E161-D161</f>
        <v>0</v>
      </c>
      <c r="G161" s="81" t="s"/>
      <c r="H161" s="81" t="s"/>
      <c r="I161" s="81" t="s"/>
      <c r="J161" s="81">
        <f>=I161-H161</f>
        <v>0</v>
      </c>
      <c r="K161" s="81">
        <f>=C161*F161+G161*J161</f>
        <v>0</v>
      </c>
      <c r="L161" s="81">
        <f>=K161*B161</f>
        <v>0</v>
      </c>
    </row>
    <row r="162" spans="1:12">
      <c r="A162" s="81">
        <v>40</v>
      </c>
      <c r="B162" s="81" t="s"/>
      <c r="C162" s="81" t="s"/>
      <c r="D162" s="81" t="s"/>
      <c r="E162" s="81" t="s"/>
      <c r="F162" s="81">
        <f>=E162-D162</f>
        <v>0</v>
      </c>
      <c r="G162" s="81" t="s"/>
      <c r="H162" s="81" t="s"/>
      <c r="I162" s="81" t="s"/>
      <c r="J162" s="81">
        <f>=I162-H162</f>
        <v>0</v>
      </c>
      <c r="K162" s="81">
        <f>=C162*F162+G162*J162</f>
        <v>0</v>
      </c>
      <c r="L162" s="81">
        <f>=K162*B162</f>
        <v>0</v>
      </c>
    </row>
    <row r="163" spans="1:12">
      <c r="A163" s="81">
        <v>40</v>
      </c>
      <c r="B163" s="81" t="s"/>
      <c r="C163" s="81" t="s"/>
      <c r="D163" s="81" t="s"/>
      <c r="E163" s="81" t="s"/>
      <c r="F163" s="81">
        <f>=E163-D163</f>
        <v>0</v>
      </c>
      <c r="G163" s="81" t="s"/>
      <c r="H163" s="81" t="s"/>
      <c r="I163" s="81" t="s"/>
      <c r="J163" s="81">
        <f>=I163-H163</f>
        <v>0</v>
      </c>
      <c r="K163" s="81">
        <f>=C163*F163+G163*J163</f>
        <v>0</v>
      </c>
      <c r="L163" s="81">
        <f>=K163*B163</f>
        <v>0</v>
      </c>
    </row>
    <row r="164" spans="1:12">
      <c r="A164" s="81">
        <v>40</v>
      </c>
      <c r="B164" s="81" t="s"/>
      <c r="C164" s="81" t="s"/>
      <c r="D164" s="81" t="s"/>
      <c r="E164" s="81" t="s"/>
      <c r="F164" s="81">
        <f>=E164-D164</f>
        <v>0</v>
      </c>
      <c r="G164" s="81" t="s"/>
      <c r="H164" s="81" t="s"/>
      <c r="I164" s="81" t="s"/>
      <c r="J164" s="81">
        <f>=I164-H164</f>
        <v>0</v>
      </c>
      <c r="K164" s="81">
        <f>=C164*F164+G164*J164</f>
        <v>0</v>
      </c>
      <c r="L164" s="81">
        <f>=K164*B164</f>
        <v>0</v>
      </c>
    </row>
    <row r="165" spans="1:12">
      <c r="A165" s="81">
        <v>40</v>
      </c>
      <c r="B165" s="81" t="s"/>
      <c r="C165" s="81" t="s"/>
      <c r="D165" s="81" t="s"/>
      <c r="E165" s="81" t="s"/>
      <c r="F165" s="81">
        <f>=E165-D165</f>
        <v>0</v>
      </c>
      <c r="G165" s="81" t="s"/>
      <c r="H165" s="81" t="s"/>
      <c r="I165" s="81" t="s"/>
      <c r="J165" s="81">
        <f>=I165-H165</f>
        <v>0</v>
      </c>
      <c r="K165" s="81">
        <f>=C165*F165+G165*J165</f>
        <v>0</v>
      </c>
      <c r="L165" s="81">
        <f>=K165*B165</f>
        <v>0</v>
      </c>
    </row>
    <row r="166" spans="1:12">
      <c r="A166" s="81">
        <v>40</v>
      </c>
      <c r="B166" s="81" t="s"/>
      <c r="C166" s="81" t="s"/>
      <c r="D166" s="81" t="s"/>
      <c r="E166" s="81" t="s"/>
      <c r="F166" s="81">
        <f>=E166-D166</f>
        <v>0</v>
      </c>
      <c r="G166" s="81" t="s"/>
      <c r="H166" s="81" t="s"/>
      <c r="I166" s="81" t="s"/>
      <c r="J166" s="81">
        <f>=I166-H166</f>
        <v>0</v>
      </c>
      <c r="K166" s="81">
        <f>=C166*F166+G166*J166</f>
        <v>0</v>
      </c>
      <c r="L166" s="81">
        <f>=K166*B166</f>
        <v>0</v>
      </c>
    </row>
    <row r="167" spans="1:12">
      <c r="A167" s="81">
        <v>40</v>
      </c>
      <c r="B167" s="81" t="s"/>
      <c r="C167" s="81" t="s"/>
      <c r="D167" s="81" t="s"/>
      <c r="E167" s="81" t="s"/>
      <c r="F167" s="81">
        <f>=E167-D167</f>
        <v>0</v>
      </c>
      <c r="G167" s="81" t="s"/>
      <c r="H167" s="81" t="s"/>
      <c r="I167" s="81" t="s"/>
      <c r="J167" s="81">
        <f>=I167-H167</f>
        <v>0</v>
      </c>
      <c r="K167" s="81">
        <f>=C167*F167+G167*J167</f>
        <v>0</v>
      </c>
      <c r="L167" s="81">
        <f>=K167*B167</f>
        <v>0</v>
      </c>
    </row>
    <row r="168" spans="1:12">
      <c r="A168" s="81">
        <v>40</v>
      </c>
      <c r="B168" s="81" t="s"/>
      <c r="C168" s="81" t="s"/>
      <c r="D168" s="81" t="s"/>
      <c r="E168" s="81" t="s"/>
      <c r="F168" s="81">
        <f>=E168-D168</f>
        <v>0</v>
      </c>
      <c r="G168" s="81" t="s"/>
      <c r="H168" s="81" t="s"/>
      <c r="I168" s="81" t="s"/>
      <c r="J168" s="81">
        <f>=I168-H168</f>
        <v>0</v>
      </c>
      <c r="K168" s="81">
        <f>=C168*F168+G168*J168</f>
        <v>0</v>
      </c>
      <c r="L168" s="81">
        <f>=K168*B168</f>
        <v>0</v>
      </c>
    </row>
    <row r="169" spans="1:12">
      <c r="A169" s="81">
        <v>40</v>
      </c>
      <c r="B169" s="81" t="s"/>
      <c r="C169" s="81" t="s"/>
      <c r="D169" s="81" t="s"/>
      <c r="E169" s="81" t="s"/>
      <c r="F169" s="81">
        <f>=E169-D169</f>
        <v>0</v>
      </c>
      <c r="G169" s="81" t="s"/>
      <c r="H169" s="81" t="s"/>
      <c r="I169" s="81" t="s"/>
      <c r="J169" s="81">
        <f>=I169-H169</f>
        <v>0</v>
      </c>
      <c r="K169" s="81">
        <f>=C169*F169+G169*J169</f>
        <v>0</v>
      </c>
      <c r="L169" s="81">
        <f>=K169*B169</f>
        <v>0</v>
      </c>
    </row>
    <row r="170" spans="1:12">
      <c r="A170" s="81">
        <v>40</v>
      </c>
      <c r="B170" s="81" t="s"/>
      <c r="C170" s="81" t="s"/>
      <c r="D170" s="81" t="s"/>
      <c r="E170" s="81" t="s"/>
      <c r="F170" s="81">
        <f>=E170-D170</f>
        <v>0</v>
      </c>
      <c r="G170" s="81" t="s"/>
      <c r="H170" s="81" t="s"/>
      <c r="I170" s="81" t="s"/>
      <c r="J170" s="81">
        <f>=I170-H170</f>
        <v>0</v>
      </c>
      <c r="K170" s="81">
        <f>=C170*F170+G170*J170</f>
        <v>0</v>
      </c>
      <c r="L170" s="81">
        <f>=K170*B170</f>
        <v>0</v>
      </c>
    </row>
    <row r="171" spans="1:12">
      <c r="A171" s="81">
        <v>40</v>
      </c>
      <c r="B171" s="81" t="s"/>
      <c r="C171" s="81" t="s"/>
      <c r="D171" s="81" t="s"/>
      <c r="E171" s="81" t="s"/>
      <c r="F171" s="81">
        <f>=E171-D171</f>
        <v>0</v>
      </c>
      <c r="G171" s="81" t="s"/>
      <c r="H171" s="81" t="s"/>
      <c r="I171" s="81" t="s"/>
      <c r="J171" s="81">
        <f>=I171-H171</f>
        <v>0</v>
      </c>
      <c r="K171" s="81">
        <f>=C171*F171+G171*J171</f>
        <v>0</v>
      </c>
      <c r="L171" s="81">
        <f>=K171*B171</f>
        <v>0</v>
      </c>
    </row>
    <row r="172" spans="1:12">
      <c r="A172" s="81">
        <v>40</v>
      </c>
      <c r="B172" s="81" t="s"/>
      <c r="C172" s="81" t="s"/>
      <c r="D172" s="81" t="s"/>
      <c r="E172" s="81" t="s"/>
      <c r="F172" s="81">
        <f>=E172-D172</f>
        <v>0</v>
      </c>
      <c r="G172" s="81" t="s"/>
      <c r="H172" s="81" t="s"/>
      <c r="I172" s="81" t="s"/>
      <c r="J172" s="81">
        <f>=I172-H172</f>
        <v>0</v>
      </c>
      <c r="K172" s="81">
        <f>=C172*F172+G172*J172</f>
        <v>0</v>
      </c>
      <c r="L172" s="81">
        <f>=K172*B172</f>
        <v>0</v>
      </c>
    </row>
    <row r="173" spans="1:12">
      <c r="A173" s="81">
        <v>40</v>
      </c>
      <c r="B173" s="81" t="s"/>
      <c r="C173" s="81" t="s"/>
      <c r="D173" s="81" t="s"/>
      <c r="E173" s="81" t="s"/>
      <c r="F173" s="81">
        <f>=E173-D173</f>
        <v>0</v>
      </c>
      <c r="G173" s="81" t="s"/>
      <c r="H173" s="81" t="s"/>
      <c r="I173" s="81" t="s"/>
      <c r="J173" s="81">
        <f>=I173-H173</f>
        <v>0</v>
      </c>
      <c r="K173" s="81">
        <f>=C173*F173+G173*J173</f>
        <v>0</v>
      </c>
      <c r="L173" s="81">
        <f>=K173*B173</f>
        <v>0</v>
      </c>
    </row>
    <row r="174" spans="1:12">
      <c r="A174" s="81">
        <v>40</v>
      </c>
      <c r="B174" s="81" t="s"/>
      <c r="C174" s="81" t="s"/>
      <c r="D174" s="81" t="s"/>
      <c r="E174" s="81" t="s"/>
      <c r="F174" s="81">
        <f>=E174-D174</f>
        <v>0</v>
      </c>
      <c r="G174" s="81" t="s"/>
      <c r="H174" s="81" t="s"/>
      <c r="I174" s="81" t="s"/>
      <c r="J174" s="81">
        <f>=I174-H174</f>
        <v>0</v>
      </c>
      <c r="K174" s="81">
        <f>=C174*F174+G174*J174</f>
        <v>0</v>
      </c>
      <c r="L174" s="81">
        <f>=K174*B174</f>
        <v>0</v>
      </c>
    </row>
    <row r="175" spans="1:12">
      <c r="A175" s="81">
        <v>40</v>
      </c>
      <c r="B175" s="81" t="s"/>
      <c r="C175" s="81" t="s"/>
      <c r="D175" s="81" t="s"/>
      <c r="E175" s="81" t="s"/>
      <c r="F175" s="81">
        <f>=E175-D175</f>
        <v>0</v>
      </c>
      <c r="G175" s="81" t="s"/>
      <c r="H175" s="81" t="s"/>
      <c r="I175" s="81" t="s"/>
      <c r="J175" s="81">
        <f>=I175-H175</f>
        <v>0</v>
      </c>
      <c r="K175" s="81">
        <f>=C175*F175+G175*J175</f>
        <v>0</v>
      </c>
      <c r="L175" s="81">
        <f>=K175*B175</f>
        <v>0</v>
      </c>
    </row>
    <row r="176" spans="1:12">
      <c r="A176" s="81">
        <v>40</v>
      </c>
      <c r="B176" s="81" t="s"/>
      <c r="C176" s="81" t="s"/>
      <c r="D176" s="81" t="s"/>
      <c r="E176" s="81" t="s"/>
      <c r="F176" s="81">
        <f>=E176-D176</f>
        <v>0</v>
      </c>
      <c r="G176" s="81" t="s"/>
      <c r="H176" s="81" t="s"/>
      <c r="I176" s="81" t="s"/>
      <c r="J176" s="81">
        <f>=I176-H176</f>
        <v>0</v>
      </c>
      <c r="K176" s="81">
        <f>=C176*F176+G176*J176</f>
        <v>0</v>
      </c>
      <c r="L176" s="81">
        <f>=K176*B176</f>
        <v>0</v>
      </c>
    </row>
    <row r="177" spans="1:12">
      <c r="A177" s="81">
        <v>40</v>
      </c>
      <c r="B177" s="81" t="s"/>
      <c r="C177" s="81" t="s"/>
      <c r="D177" s="81" t="s"/>
      <c r="E177" s="81" t="s"/>
      <c r="F177" s="81">
        <f>=E177-D177</f>
        <v>0</v>
      </c>
      <c r="G177" s="81" t="s"/>
      <c r="H177" s="81" t="s"/>
      <c r="I177" s="81" t="s"/>
      <c r="J177" s="81">
        <f>=I177-H177</f>
        <v>0</v>
      </c>
      <c r="K177" s="81">
        <f>=C177*F177+G177*J177</f>
        <v>0</v>
      </c>
      <c r="L177" s="81">
        <f>=K177*B177</f>
        <v>0</v>
      </c>
    </row>
    <row r="178" spans="1:12">
      <c r="A178" s="81">
        <v>40</v>
      </c>
      <c r="B178" s="81" t="s"/>
      <c r="C178" s="81" t="s"/>
      <c r="D178" s="81" t="s"/>
      <c r="E178" s="81" t="s"/>
      <c r="F178" s="81">
        <f>=E178-D178</f>
        <v>0</v>
      </c>
      <c r="G178" s="81" t="s"/>
      <c r="H178" s="81" t="s"/>
      <c r="I178" s="81" t="s"/>
      <c r="J178" s="81">
        <f>=I178-H178</f>
        <v>0</v>
      </c>
      <c r="K178" s="81">
        <f>=C178*F178+G178*J178</f>
        <v>0</v>
      </c>
      <c r="L178" s="81">
        <f>=K178*B178</f>
        <v>0</v>
      </c>
    </row>
    <row r="179" spans="1:12">
      <c r="A179" s="81">
        <v>40</v>
      </c>
      <c r="B179" s="81" t="s"/>
      <c r="C179" s="81" t="s"/>
      <c r="D179" s="81" t="s"/>
      <c r="E179" s="81" t="s"/>
      <c r="F179" s="81">
        <f>=E179-D179</f>
        <v>0</v>
      </c>
      <c r="G179" s="81" t="s"/>
      <c r="H179" s="81" t="s"/>
      <c r="I179" s="81" t="s"/>
      <c r="J179" s="81">
        <f>=I179-H179</f>
        <v>0</v>
      </c>
      <c r="K179" s="81">
        <f>=C179*F179+G179*J179</f>
        <v>0</v>
      </c>
      <c r="L179" s="81">
        <f>=K179*B179</f>
        <v>0</v>
      </c>
    </row>
    <row r="180" spans="1:12">
      <c r="A180" s="81">
        <v>40</v>
      </c>
      <c r="B180" s="81" t="s"/>
      <c r="C180" s="81" t="s"/>
      <c r="D180" s="81" t="s"/>
      <c r="E180" s="81" t="s"/>
      <c r="F180" s="81">
        <f>=E180-D180</f>
        <v>0</v>
      </c>
      <c r="G180" s="81" t="s"/>
      <c r="H180" s="81" t="s"/>
      <c r="I180" s="81" t="s"/>
      <c r="J180" s="81">
        <f>=I180-H180</f>
        <v>0</v>
      </c>
      <c r="K180" s="81">
        <f>=C180*F180+G180*J180</f>
        <v>0</v>
      </c>
      <c r="L180" s="81">
        <f>=K180*B180</f>
        <v>0</v>
      </c>
    </row>
    <row r="181" spans="1:12">
      <c r="A181" s="81">
        <v>40</v>
      </c>
      <c r="B181" s="81" t="s"/>
      <c r="C181" s="81" t="s"/>
      <c r="D181" s="81" t="s"/>
      <c r="E181" s="81" t="s"/>
      <c r="F181" s="81">
        <f>=E181-D181</f>
        <v>0</v>
      </c>
      <c r="G181" s="81" t="s"/>
      <c r="H181" s="81" t="s"/>
      <c r="I181" s="81" t="s"/>
      <c r="J181" s="81">
        <f>=I181-H181</f>
        <v>0</v>
      </c>
      <c r="K181" s="81">
        <f>=C181*F181+G181*J181</f>
        <v>0</v>
      </c>
      <c r="L181" s="81">
        <f>=K181*B181</f>
        <v>0</v>
      </c>
    </row>
    <row r="182" spans="1:12">
      <c r="A182" s="81">
        <v>40</v>
      </c>
      <c r="B182" s="81" t="s"/>
      <c r="C182" s="81" t="s"/>
      <c r="D182" s="81" t="s"/>
      <c r="E182" s="81" t="s"/>
      <c r="F182" s="81">
        <f>=E182-D182</f>
        <v>0</v>
      </c>
      <c r="G182" s="81" t="s"/>
      <c r="H182" s="81" t="s"/>
      <c r="I182" s="81" t="s"/>
      <c r="J182" s="81">
        <f>=I182-H182</f>
        <v>0</v>
      </c>
      <c r="K182" s="81">
        <f>=C182*F182+G182*J182</f>
        <v>0</v>
      </c>
      <c r="L182" s="81">
        <f>=K182*B182</f>
        <v>0</v>
      </c>
    </row>
    <row r="183" spans="1:12">
      <c r="A183" s="81">
        <v>40</v>
      </c>
      <c r="B183" s="81" t="s"/>
      <c r="C183" s="81" t="s"/>
      <c r="D183" s="81" t="s"/>
      <c r="E183" s="81" t="s"/>
      <c r="F183" s="81">
        <f>=E183-D183</f>
        <v>0</v>
      </c>
      <c r="G183" s="81" t="s"/>
      <c r="H183" s="81" t="s"/>
      <c r="I183" s="81" t="s"/>
      <c r="J183" s="81">
        <f>=I183-H183</f>
        <v>0</v>
      </c>
      <c r="K183" s="81">
        <f>=C183*F183+G183*J183</f>
        <v>0</v>
      </c>
      <c r="L183" s="81">
        <f>=K183*B183</f>
        <v>0</v>
      </c>
    </row>
    <row r="184" spans="1:12">
      <c r="A184" s="81">
        <v>40</v>
      </c>
      <c r="B184" s="81" t="s"/>
      <c r="C184" s="81" t="s"/>
      <c r="D184" s="81" t="s"/>
      <c r="E184" s="81" t="s"/>
      <c r="F184" s="81">
        <f>=E184-D184</f>
        <v>0</v>
      </c>
      <c r="G184" s="81" t="s"/>
      <c r="H184" s="81" t="s"/>
      <c r="I184" s="81" t="s"/>
      <c r="J184" s="81">
        <f>=I184-H184</f>
        <v>0</v>
      </c>
      <c r="K184" s="81">
        <f>=C184*F184+G184*J184</f>
        <v>0</v>
      </c>
      <c r="L184" s="81">
        <f>=K184*B184</f>
        <v>0</v>
      </c>
    </row>
    <row r="185" spans="1:12">
      <c r="A185" s="81">
        <v>40</v>
      </c>
      <c r="B185" s="81" t="s"/>
      <c r="C185" s="81" t="s"/>
      <c r="D185" s="81" t="s"/>
      <c r="E185" s="81" t="s"/>
      <c r="F185" s="81">
        <f>=E185-D185</f>
        <v>0</v>
      </c>
      <c r="G185" s="81" t="s"/>
      <c r="H185" s="81" t="s"/>
      <c r="I185" s="81" t="s"/>
      <c r="J185" s="81">
        <f>=I185-H185</f>
        <v>0</v>
      </c>
      <c r="K185" s="81">
        <f>=C185*F185+G185*J185</f>
        <v>0</v>
      </c>
      <c r="L185" s="81">
        <f>=K185*B185</f>
        <v>0</v>
      </c>
    </row>
    <row r="186" spans="1:12">
      <c r="A186" s="81">
        <v>40</v>
      </c>
      <c r="B186" s="81" t="s"/>
      <c r="C186" s="81" t="s"/>
      <c r="D186" s="81" t="s"/>
      <c r="E186" s="81" t="s"/>
      <c r="F186" s="81">
        <f>=E186-D186</f>
        <v>0</v>
      </c>
      <c r="G186" s="81" t="s"/>
      <c r="H186" s="81" t="s"/>
      <c r="I186" s="81" t="s"/>
      <c r="J186" s="81">
        <f>=I186-H186</f>
        <v>0</v>
      </c>
      <c r="K186" s="81">
        <f>=C186*F186+G186*J186</f>
        <v>0</v>
      </c>
      <c r="L186" s="81">
        <f>=K186*B186</f>
        <v>0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2026-09-22T13:20:56Z</dcterms:created>
  <dcterms:modified xsi:type="dcterms:W3CDTF">2026-09-22T13:20:56Z</dcterms:modified>
</cp:coreProperties>
</file>